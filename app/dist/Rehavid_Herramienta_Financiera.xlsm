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nel" sheetId="1" r:id="rId1"/>
    <sheet name="Modelo" sheetId="2" r:id="rId2"/>
    <sheet name="Escenarios" sheetId="3" r:id="rId3"/>
    <sheet name="Flujos" sheetId="4" r:id="rId4"/>
    <sheet name="Supuestos" sheetId="5" r:id="rId5"/>
    <sheet name="Covenants" sheetId="6" r:id="rId6"/>
  </sheets>
  <definedNames>
    <definedName name="caja0">Panel!$C$16</definedName>
    <definedName name="cajamin">Panel!$C$17</definedName>
    <definedName name="cfads0">Panel!$C$12</definedName>
    <definedName name="covenant">Panel!$C$15</definedName>
    <definedName name="crec">Panel!$C$13</definedName>
    <definedName name="gracia">Panel!$C$10</definedName>
    <definedName name="m">Panel!$C$8</definedName>
    <definedName name="metodo">Panel!$C$9</definedName>
    <definedName name="monto">Panel!$C$5</definedName>
    <definedName name="plazo">Panel!$C$7</definedName>
    <definedName name="_xlnm.Print_Titles" localSheetId="5">Covenants!$3:$3</definedName>
    <definedName name="_xlnm.Print_Titles" localSheetId="2">Escenarios!$3:$3</definedName>
    <definedName name="_xlnm.Print_Titles" localSheetId="3">Flujos!$3:$3</definedName>
    <definedName name="_xlnm.Print_Titles" localSheetId="1">Modelo!$3:$3</definedName>
    <definedName name="_xlnm.Print_Titles" localSheetId="0">Panel!$3:$3</definedName>
    <definedName name="_xlnm.Print_Titles" localSheetId="4">Supuestos!$3:$3</definedName>
    <definedName name="tasa">Panel!$C$6</definedName>
  </definedNames>
  <calcPr calcId="124519" fullCalcOnLoad="1"/>
</workbook>
</file>

<file path=xl/sharedStrings.xml><?xml version="1.0" encoding="utf-8"?>
<sst xmlns="http://schemas.openxmlformats.org/spreadsheetml/2006/main" count="129" uniqueCount="107">
  <si>
    <t>Rehavid · Modelación financiera</t>
  </si>
  <si>
    <t>Deuda, cobertura, liquidez y capacidad · fórmulas F1 a F7 del documento técnico maestro v1.0</t>
  </si>
  <si>
    <t>PARÁMETROS DE LA OBLIGACIÓN</t>
  </si>
  <si>
    <t>Monto de deuda</t>
  </si>
  <si>
    <t>Tasa nominal anual (%)</t>
  </si>
  <si>
    <t>Número de periodos</t>
  </si>
  <si>
    <t>Periodos por año</t>
  </si>
  <si>
    <t>Método de amortización</t>
  </si>
  <si>
    <t>frances</t>
  </si>
  <si>
    <t>Periodos de gracia de principal</t>
  </si>
  <si>
    <t>FLUJO DISPONIBLE</t>
  </si>
  <si>
    <t>CFADS del primer periodo</t>
  </si>
  <si>
    <t>Crecimiento del CFADS por periodo (%)</t>
  </si>
  <si>
    <t>RESTRICCIONES</t>
  </si>
  <si>
    <t>Covenant DSCR mínimo</t>
  </si>
  <si>
    <t>Caja inicial</t>
  </si>
  <si>
    <t>Caja mínima exigida</t>
  </si>
  <si>
    <t>INDICADORES</t>
  </si>
  <si>
    <t>Tasa del periodo</t>
  </si>
  <si>
    <t>Periodos amortizables</t>
  </si>
  <si>
    <t>DSCR mínimo del horizonte</t>
  </si>
  <si>
    <t>Brecha mínima de caja</t>
  </si>
  <si>
    <t>Servicio total del horizonte</t>
  </si>
  <si>
    <t>Interés total</t>
  </si>
  <si>
    <t>Escenario factible</t>
  </si>
  <si>
    <t>Capacidad máxima factible</t>
  </si>
  <si>
    <t>pulse el botón</t>
  </si>
  <si>
    <t>Restricción vinculante</t>
  </si>
  <si>
    <t>—</t>
  </si>
  <si>
    <t>Los valores de este libro son un EJEMPLO NEUTRO. El documento técnico maestro no contiene ninguna cifra financiera: ni tasas, ni plazos, ni montos, ni umbrales de covenant, ni caja mínima. Reemplácelos por los datos reales antes de usar el modelo para decidir.</t>
  </si>
  <si>
    <t>Este libro funciona sin macros: las fórmulas, los gráficos y el formato condicional son nativos de Excel. Las macros solo añaden el redibujado del diagrama de flujo, la iteración de escenarios y la comprobación CP-009.</t>
  </si>
  <si>
    <t>Los cinco botones requieren macros habilitadas.</t>
  </si>
  <si>
    <t>Calendario de deuda, cobertura y liquidez</t>
  </si>
  <si>
    <t>Cada columna implementa una fórmula del §8 del documento. Cambie los parámetros en la hoja Panel.</t>
  </si>
  <si>
    <t>Periodo</t>
  </si>
  <si>
    <t>Saldo inicial</t>
  </si>
  <si>
    <t>Interés</t>
  </si>
  <si>
    <t>Principal</t>
  </si>
  <si>
    <t>Servicio</t>
  </si>
  <si>
    <t>Saldo final</t>
  </si>
  <si>
    <t>CFADS</t>
  </si>
  <si>
    <t>DSCR</t>
  </si>
  <si>
    <t>Caja final</t>
  </si>
  <si>
    <t>Brecha</t>
  </si>
  <si>
    <t>Covenant</t>
  </si>
  <si>
    <t>Caja mínima</t>
  </si>
  <si>
    <t>RN-FIN-02: cuando el servicio de deuda es cero, el DSCR se muestra como "No calculable", nunca como infinito. La columna H implementa esa regla.</t>
  </si>
  <si>
    <t>Comparación de escenarios</t>
  </si>
  <si>
    <t>Los resultados se llenan con el botón «Iterar escenarios» del Panel. Sin macros, copie los parámetros de una fila al Panel y lea los indicadores.</t>
  </si>
  <si>
    <t>Escenario</t>
  </si>
  <si>
    <t>Monto</t>
  </si>
  <si>
    <t>Tasa %</t>
  </si>
  <si>
    <t>Crecim. %</t>
  </si>
  <si>
    <t>Caja mín.</t>
  </si>
  <si>
    <t>DSCR mín.</t>
  </si>
  <si>
    <t>Brecha mín.</t>
  </si>
  <si>
    <t>Servicio total</t>
  </si>
  <si>
    <t>Base (ejemplo neutro)</t>
  </si>
  <si>
    <t>CFADS -15 %</t>
  </si>
  <si>
    <t>Tasa +400 pb</t>
  </si>
  <si>
    <t>Covenant 1,35</t>
  </si>
  <si>
    <t>Caja mínima 120k</t>
  </si>
  <si>
    <t>Estos cinco escenarios son un ejemplo neutro para demostrar el mecanismo. No corresponden a ninguna operación de Rehavid. RN-FIN-05: toda variable de entrada debe identificar fuente, responsable, fecha y racional.</t>
  </si>
  <si>
    <t>Supuestos y su fuente</t>
  </si>
  <si>
    <t>Variable</t>
  </si>
  <si>
    <t>Valor</t>
  </si>
  <si>
    <t>Unidad</t>
  </si>
  <si>
    <t>Fuente</t>
  </si>
  <si>
    <t>Responsable</t>
  </si>
  <si>
    <t>Racional</t>
  </si>
  <si>
    <t>RN-FIN-05 y RF-010: un supuesto sin fuente queda en borrador y no puede aprobarse.</t>
  </si>
  <si>
    <t>Flujo del modelador</t>
  </si>
  <si>
    <t>Edite, añada o elimine filas y pulse «Redibujar flujo» en el Panel. Sin macros, la tabla sigue siendo la descripción del proceso.</t>
  </si>
  <si>
    <t>N.º</t>
  </si>
  <si>
    <t>Nodo</t>
  </si>
  <si>
    <t>Tipo</t>
  </si>
  <si>
    <t>Crear proyecto y declarar propósito, responsable y alcance</t>
  </si>
  <si>
    <t>inicio</t>
  </si>
  <si>
    <t>Registrar fuentes, supuestos y escenarios; separar histórico, presupuesto y proyección.</t>
  </si>
  <si>
    <t>proceso</t>
  </si>
  <si>
    <t>Configurar una o varias obligaciones de deuda.</t>
  </si>
  <si>
    <t>Definir el mapeo del flujo disponible para servicio de deuda.</t>
  </si>
  <si>
    <t>Registrar covenants y condiciones de liquidez con su fuente contractual o política.</t>
  </si>
  <si>
    <t>Ejecutar validaciones de integridad y corregir inconsistencias.</t>
  </si>
  <si>
    <t>decision</t>
  </si>
  <si>
    <t>Calcular calendario, servicio de deuda, cobertura, caja y capacidad máxima factible.</t>
  </si>
  <si>
    <t>Comparar escenarios determinísticos.</t>
  </si>
  <si>
    <t>Preparar y exportar el modelo para Risk Simulator.</t>
  </si>
  <si>
    <t>Ejecutar la simulación en Excel, exportar los resultados e importarlos a la app.</t>
  </si>
  <si>
    <t>Interpretar dispersión, sensibilidad y probabilidad de ruptura.</t>
  </si>
  <si>
    <t>Solicitar revisión y cerrar la versión aprobada.</t>
  </si>
  <si>
    <t>RN-FIN-05: toda variable de entrada debe identificar fuente, responsable, fecha y racional. RN-FIN-06: histórico, presupuesto y proyección no se mezclan sin etiqueta.</t>
  </si>
  <si>
    <t>Fecha</t>
  </si>
  <si>
    <t>Las celdas de Fuente vacías se resaltan: un supuesto sin fuente deja el modelo en borrador (RF-010).</t>
  </si>
  <si>
    <t>Covenants y restricciones</t>
  </si>
  <si>
    <t>RN-FIN-03: tipo, umbral, periodo, fuente y vigencia. El umbral proviene del contrato: la app no debe inventarlo (§8.2).</t>
  </si>
  <si>
    <t>Indicador</t>
  </si>
  <si>
    <t>Umbral</t>
  </si>
  <si>
    <t>Frecuencia</t>
  </si>
  <si>
    <t>Periodo de cura</t>
  </si>
  <si>
    <t>Consecuencia</t>
  </si>
  <si>
    <t>Fuente contractual</t>
  </si>
  <si>
    <t>Vigente desde</t>
  </si>
  <si>
    <t>Vigente hasta</t>
  </si>
  <si>
    <t>DSCR mínimo</t>
  </si>
  <si>
    <t>Cada periodo</t>
  </si>
  <si>
    <t>Un covenant sin fuente permite guardar borrador, pero impide aprobar el modelo y calcular la capacidad máxima definitiva (CP-008). El periodo de cura y la consecuencia determinan el efecto real del incumplimiento: no es lo mismo 90 días de cura que aceleración inmediata.</t>
  </si>
</sst>
</file>

<file path=xl/styles.xml><?xml version="1.0" encoding="utf-8"?>
<styleSheet xmlns="http://schemas.openxmlformats.org/spreadsheetml/2006/main">
  <numFmts count="4">
    <numFmt numFmtId="164" formatCode="#,##0"/>
    <numFmt numFmtId="165" formatCode="0.00&quot;%&quot;"/>
    <numFmt numFmtId="166" formatCode="#,##0.00"/>
    <numFmt numFmtId="167" formatCode="0.0000"/>
  </numFmts>
  <fonts count="14">
    <font>
      <sz val="11"/>
      <color theme="1"/>
      <name val="Calibri"/>
      <family val="2"/>
      <scheme val="minor"/>
    </font>
    <font>
      <b/>
      <sz val="17"/>
      <color rgb="FF4025CE"/>
      <name val="Calibri"/>
      <family val="2"/>
      <scheme val="minor"/>
    </font>
    <font>
      <sz val="9"/>
      <color rgb="FFB8770F"/>
      <name val="Calibri"/>
      <family val="2"/>
      <scheme val="minor"/>
    </font>
    <font>
      <i/>
      <sz val="10"/>
      <color rgb="FF5A4A95"/>
      <name val="Calibri"/>
      <family val="2"/>
      <scheme val="minor"/>
    </font>
    <font>
      <b/>
      <sz val="12"/>
      <color rgb="FF2A1788"/>
      <name val="Calibri"/>
      <family val="2"/>
      <scheme val="minor"/>
    </font>
    <font>
      <b/>
      <sz val="9"/>
      <color rgb="FF5A4A95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A055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4025C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8478B2"/>
      <name val="Calibri"/>
      <family val="2"/>
      <scheme val="minor"/>
    </font>
    <font>
      <sz val="8.5"/>
      <color rgb="FF8478B2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BF3E0"/>
        <bgColor indexed="64"/>
      </patternFill>
    </fill>
    <fill>
      <patternFill patternType="solid">
        <fgColor rgb="FFFFFDF0"/>
        <bgColor indexed="64"/>
      </patternFill>
    </fill>
    <fill>
      <patternFill patternType="solid">
        <fgColor rgb="FFDCF9E9"/>
        <bgColor indexed="64"/>
      </patternFill>
    </fill>
    <fill>
      <patternFill patternType="solid">
        <fgColor rgb="FF4025CE"/>
        <bgColor indexed="64"/>
      </patternFill>
    </fill>
    <fill>
      <patternFill patternType="solid">
        <fgColor rgb="FFFBFAFE"/>
        <bgColor indexed="64"/>
      </patternFill>
    </fill>
  </fills>
  <borders count="6">
    <border>
      <left/>
      <right/>
      <top/>
      <bottom/>
      <diagonal/>
    </border>
    <border>
      <left style="thin">
        <color rgb="FFE8D9B0"/>
      </left>
      <right style="thin">
        <color rgb="FFE8D9B0"/>
      </right>
      <top style="thin">
        <color rgb="FFE8D9B0"/>
      </top>
      <bottom style="thin">
        <color rgb="FFE8D9B0"/>
      </bottom>
      <diagonal/>
    </border>
    <border>
      <left/>
      <right/>
      <top/>
      <bottom style="thin">
        <color rgb="FFEBE7FB"/>
      </bottom>
      <diagonal/>
    </border>
    <border>
      <left style="thin">
        <color rgb="FF4025CE"/>
      </left>
      <right style="thin">
        <color rgb="FF4025CE"/>
      </right>
      <top style="thin">
        <color rgb="FF4025CE"/>
      </top>
      <bottom style="thin">
        <color rgb="FF4025CE"/>
      </bottom>
      <diagonal/>
    </border>
    <border>
      <left style="thin">
        <color rgb="FFA9E9C6"/>
      </left>
      <right style="thin">
        <color rgb="FFA9E9C6"/>
      </right>
      <top style="thin">
        <color rgb="FFA9E9C6"/>
      </top>
      <bottom style="thin">
        <color rgb="FFA9E9C6"/>
      </bottom>
      <diagonal/>
    </border>
    <border>
      <left style="thin">
        <color rgb="FFEBE7FB"/>
      </left>
      <right style="thin">
        <color rgb="FFEBE7FB"/>
      </right>
      <top style="thin">
        <color rgb="FFEBE7FB"/>
      </top>
      <bottom style="thin">
        <color rgb="FFEBE7FB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2" xfId="0" applyFont="1" applyBorder="1"/>
    <xf numFmtId="0" fontId="5" fillId="0" borderId="0" xfId="0" applyFont="1"/>
    <xf numFmtId="164" fontId="6" fillId="3" borderId="3" xfId="0" applyNumberFormat="1" applyFont="1" applyFill="1" applyBorder="1"/>
    <xf numFmtId="0" fontId="7" fillId="4" borderId="4" xfId="0" applyFont="1" applyFill="1" applyBorder="1" applyAlignment="1">
      <alignment vertical="top" wrapText="1"/>
    </xf>
    <xf numFmtId="165" fontId="6" fillId="3" borderId="3" xfId="0" applyNumberFormat="1" applyFont="1" applyFill="1" applyBorder="1"/>
    <xf numFmtId="166" fontId="6" fillId="3" borderId="3" xfId="0" applyNumberFormat="1" applyFont="1" applyFill="1" applyBorder="1"/>
    <xf numFmtId="167" fontId="0" fillId="0" borderId="5" xfId="0" applyNumberFormat="1" applyBorder="1"/>
    <xf numFmtId="164" fontId="8" fillId="0" borderId="5" xfId="0" applyNumberFormat="1" applyFont="1" applyBorder="1"/>
    <xf numFmtId="166" fontId="9" fillId="0" borderId="5" xfId="0" applyNumberFormat="1" applyFont="1" applyBorder="1"/>
    <xf numFmtId="164" fontId="9" fillId="0" borderId="5" xfId="0" applyNumberFormat="1" applyFont="1" applyBorder="1"/>
    <xf numFmtId="0" fontId="10" fillId="0" borderId="5" xfId="0" applyFont="1" applyBorder="1"/>
    <xf numFmtId="0" fontId="11" fillId="0" borderId="5" xfId="0" applyFont="1" applyBorder="1"/>
    <xf numFmtId="0" fontId="12" fillId="0" borderId="0" xfId="0" applyFont="1" applyAlignment="1">
      <alignment vertical="top" wrapText="1"/>
    </xf>
    <xf numFmtId="0" fontId="13" fillId="5" borderId="3" xfId="0" applyFont="1" applyFill="1" applyBorder="1" applyAlignment="1">
      <alignment vertical="center" wrapText="1"/>
    </xf>
    <xf numFmtId="166" fontId="8" fillId="0" borderId="5" xfId="0" applyNumberFormat="1" applyFont="1" applyBorder="1"/>
    <xf numFmtId="0" fontId="8" fillId="6" borderId="5" xfId="0" applyFont="1" applyFill="1" applyBorder="1" applyAlignment="1">
      <alignment vertical="top" wrapText="1"/>
    </xf>
    <xf numFmtId="0" fontId="8" fillId="0" borderId="5" xfId="0" applyFont="1" applyBorder="1" applyAlignment="1">
      <alignment vertical="top" wrapText="1"/>
    </xf>
  </cellXfs>
  <cellStyles count="1">
    <cellStyle name="Normal" xfId="0" builtinId="0"/>
  </cellStyles>
  <dxfs count="5">
    <dxf>
      <font>
        <b/>
        <color rgb="FFB23B5C"/>
      </font>
    </dxf>
    <dxf>
      <font>
        <b/>
        <color rgb="FF00A055"/>
      </font>
    </dxf>
    <dxf>
      <font>
        <b/>
        <color rgb="FFB23B5C"/>
      </font>
      <numFmt numFmtId="166" formatCode="#,##0.00"/>
    </dxf>
    <dxf>
      <font>
        <b/>
        <color rgb="FFB23B5C"/>
      </font>
      <numFmt numFmtId="164" formatCode="#,##0"/>
    </dxf>
    <dxf>
      <fill>
        <patternFill>
          <bgColor rgb="FFFAE7EC"/>
        </patternFill>
      </fill>
      <border>
        <left style="thin">
          <color rgb="FFEBE7FB"/>
        </left>
        <right style="thin">
          <color rgb="FFEBE7FB"/>
        </right>
        <top style="thin">
          <color rgb="FFEBE7FB"/>
        </top>
        <bottom style="thin">
          <color rgb="FFEBE7FB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Perfil de deuda · principal e interés por periodo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Principal</c:v>
          </c:tx>
          <c:spPr>
            <a:solidFill>
              <a:srgbClr val="4025CE"/>
            </a:solidFill>
            <a:ln>
              <a:noFill/>
            </a:ln>
          </c:spP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Modelo!$D$4:$D$27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Interés</c:v>
          </c:tx>
          <c:spPr>
            <a:solidFill>
              <a:srgbClr val="02E577"/>
            </a:solidFill>
            <a:ln>
              <a:noFill/>
            </a:ln>
          </c:spP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Modelo!$C$4:$C$27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numFmt formatCode="General" sourceLinked="1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BE7FB"/>
              </a:solidFill>
            </a:ln>
          </c:spPr>
        </c:majorGridlines>
        <c:numFmt formatCode="General" sourceLinked="1"/>
        <c:tickLblPos val="nextTo"/>
        <c:crossAx val="5001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Cobertura · DSCR frente al covenant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DSCR</c:v>
          </c:tx>
          <c:spPr>
            <a:ln w="28575">
              <a:solidFill>
                <a:srgbClr val="4025CE"/>
              </a:solidFill>
            </a:ln>
          </c:spPr>
          <c:marker>
            <c:symbol val="circle"/>
            <c:size val="5"/>
            <c:spPr>
              <a:solidFill>
                <a:srgbClr val="4025CE"/>
              </a:solidFill>
            </c:spPr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Modelo!$H$4:$H$27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Covenant</c:v>
          </c:tx>
          <c:spPr>
            <a:ln w="19050">
              <a:solidFill>
                <a:srgbClr val="B23B5C"/>
              </a:solidFill>
              <a:prstDash val="dash"/>
            </a:ln>
          </c:spPr>
          <c:marker>
            <c:symbol val="none"/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Modelo!$L$4:$L$27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tickLblPos val="nextTo"/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/>
        <c:numFmt formatCode="General" sourceLinked="1"/>
        <c:tickLblPos val="nextTo"/>
        <c:crossAx val="5002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Liquidez · caja final frente a la caja mínima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Caja final</c:v>
          </c:tx>
          <c:spPr>
            <a:ln w="28575">
              <a:solidFill>
                <a:srgbClr val="4025CE"/>
              </a:solidFill>
            </a:ln>
          </c:spPr>
          <c:marker>
            <c:symbol val="circle"/>
            <c:size val="5"/>
            <c:spPr>
              <a:solidFill>
                <a:srgbClr val="4025CE"/>
              </a:solidFill>
            </c:spPr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Modelo!$J$4:$J$27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Caja mínima</c:v>
          </c:tx>
          <c:spPr>
            <a:ln w="19050">
              <a:solidFill>
                <a:srgbClr val="B23B5C"/>
              </a:solidFill>
              <a:prstDash val="dash"/>
            </a:ln>
          </c:spPr>
          <c:marker>
            <c:symbol val="none"/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Modelo!$M$4:$M$27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marker val="1"/>
        <c:axId val="50030001"/>
        <c:axId val="50030002"/>
      </c:lineChart>
      <c:catAx>
        <c:axId val="50030001"/>
        <c:scaling>
          <c:orientation val="minMax"/>
        </c:scaling>
        <c:axPos val="b"/>
        <c:numFmt formatCode="General" sourceLinked="1"/>
        <c:tickLblPos val="nextTo"/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/>
        <c:numFmt formatCode="General" sourceLinked="1"/>
        <c:tickLblPos val="nextTo"/>
        <c:crossAx val="5003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9</xdr:col>
      <xdr:colOff>571500</xdr:colOff>
      <xdr:row>19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571500</xdr:colOff>
      <xdr:row>33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35</xdr:row>
      <xdr:rowOff>0</xdr:rowOff>
    </xdr:from>
    <xdr:to>
      <xdr:col>9</xdr:col>
      <xdr:colOff>571500</xdr:colOff>
      <xdr:row>47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2:N36"/>
  <sheetViews>
    <sheetView showGridLines="0" tabSelected="1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3.7109375" customWidth="1"/>
    <col min="5" max="14" width="11.7109375" customWidth="1"/>
  </cols>
  <sheetData>
    <row r="2" spans="2:14">
      <c r="B2" s="1" t="s">
        <v>0</v>
      </c>
      <c r="E2" s="2" t="s">
        <v>29</v>
      </c>
      <c r="F2" s="2"/>
      <c r="G2" s="2"/>
      <c r="H2" s="2"/>
      <c r="I2" s="2"/>
      <c r="J2" s="2"/>
      <c r="K2" s="2"/>
      <c r="L2" s="2"/>
      <c r="M2" s="2"/>
      <c r="N2" s="2"/>
    </row>
    <row r="3" spans="2:14">
      <c r="B3" s="3" t="s">
        <v>1</v>
      </c>
      <c r="E3" s="2"/>
      <c r="F3" s="2"/>
      <c r="G3" s="2"/>
      <c r="H3" s="2"/>
      <c r="I3" s="2"/>
      <c r="J3" s="2"/>
      <c r="K3" s="2"/>
      <c r="L3" s="2"/>
      <c r="M3" s="2"/>
      <c r="N3" s="2"/>
    </row>
    <row r="4" spans="2:14">
      <c r="B4" s="4" t="s">
        <v>2</v>
      </c>
      <c r="C4" s="4"/>
      <c r="E4" s="2"/>
      <c r="F4" s="2"/>
      <c r="G4" s="2"/>
      <c r="H4" s="2"/>
      <c r="I4" s="2"/>
      <c r="J4" s="2"/>
      <c r="K4" s="2"/>
      <c r="L4" s="2"/>
      <c r="M4" s="2"/>
      <c r="N4" s="2"/>
    </row>
    <row r="5" spans="2:14">
      <c r="B5" s="5" t="s">
        <v>3</v>
      </c>
      <c r="C5" s="6">
        <v>1000000</v>
      </c>
      <c r="E5" s="7" t="s">
        <v>30</v>
      </c>
      <c r="F5" s="7"/>
      <c r="G5" s="7"/>
      <c r="H5" s="7"/>
      <c r="I5" s="7"/>
      <c r="J5" s="7"/>
      <c r="K5" s="7"/>
      <c r="L5" s="7"/>
      <c r="M5" s="7"/>
      <c r="N5" s="7"/>
    </row>
    <row r="6" spans="2:14">
      <c r="B6" s="5" t="s">
        <v>4</v>
      </c>
      <c r="C6" s="8">
        <v>12</v>
      </c>
      <c r="E6" s="7"/>
      <c r="F6" s="7"/>
      <c r="G6" s="7"/>
      <c r="H6" s="7"/>
      <c r="I6" s="7"/>
      <c r="J6" s="7"/>
      <c r="K6" s="7"/>
      <c r="L6" s="7"/>
      <c r="M6" s="7"/>
      <c r="N6" s="7"/>
    </row>
    <row r="7" spans="2:14">
      <c r="B7" s="5" t="s">
        <v>5</v>
      </c>
      <c r="C7" s="6">
        <v>12</v>
      </c>
    </row>
    <row r="8" spans="2:14">
      <c r="B8" s="5" t="s">
        <v>6</v>
      </c>
      <c r="C8" s="6">
        <v>4</v>
      </c>
    </row>
    <row r="9" spans="2:14">
      <c r="B9" s="5" t="s">
        <v>7</v>
      </c>
      <c r="C9" s="9" t="s">
        <v>8</v>
      </c>
    </row>
    <row r="10" spans="2:14">
      <c r="B10" s="5" t="s">
        <v>9</v>
      </c>
      <c r="C10" s="6">
        <v>0</v>
      </c>
    </row>
    <row r="11" spans="2:14">
      <c r="B11" s="4" t="s">
        <v>10</v>
      </c>
      <c r="C11" s="4"/>
    </row>
    <row r="12" spans="2:14">
      <c r="B12" s="5" t="s">
        <v>11</v>
      </c>
      <c r="C12" s="6">
        <v>120000</v>
      </c>
    </row>
    <row r="13" spans="2:14">
      <c r="B13" s="5" t="s">
        <v>12</v>
      </c>
      <c r="C13" s="8">
        <v>0</v>
      </c>
    </row>
    <row r="14" spans="2:14">
      <c r="B14" s="4" t="s">
        <v>13</v>
      </c>
      <c r="C14" s="4"/>
    </row>
    <row r="15" spans="2:14">
      <c r="B15" s="5" t="s">
        <v>14</v>
      </c>
      <c r="C15" s="9">
        <v>1.2</v>
      </c>
    </row>
    <row r="16" spans="2:14">
      <c r="B16" s="5" t="s">
        <v>15</v>
      </c>
      <c r="C16" s="6">
        <v>150000</v>
      </c>
    </row>
    <row r="17" spans="2:3">
      <c r="B17" s="4" t="s">
        <v>17</v>
      </c>
      <c r="C17" s="4"/>
    </row>
    <row r="18" spans="2:3">
      <c r="B18" s="5" t="s">
        <v>18</v>
      </c>
      <c r="C18" s="10">
        <f>tasa/100/m</f>
        <v>0</v>
      </c>
    </row>
    <row r="19" spans="2:3">
      <c r="B19" s="5" t="s">
        <v>19</v>
      </c>
      <c r="C19" s="11">
        <f>MAX(plazo-gracia,1)</f>
        <v>0</v>
      </c>
    </row>
    <row r="20" spans="2:3">
      <c r="B20" s="5" t="s">
        <v>20</v>
      </c>
      <c r="C20" s="12">
        <f>MIN(Modelo!$H$4:$H$63)</f>
        <v>0</v>
      </c>
    </row>
    <row r="21" spans="2:3">
      <c r="B21" s="5" t="s">
        <v>21</v>
      </c>
      <c r="C21" s="13">
        <f>MIN(Modelo!$K$4:$K$63)</f>
        <v>0</v>
      </c>
    </row>
    <row r="22" spans="2:3">
      <c r="B22" s="5" t="s">
        <v>22</v>
      </c>
      <c r="C22" s="13">
        <f>SUM(Modelo!$E$4:$E$63)</f>
        <v>0</v>
      </c>
    </row>
    <row r="23" spans="2:3">
      <c r="B23" s="5" t="s">
        <v>23</v>
      </c>
      <c r="C23" s="13">
        <f>SUM(Modelo!$C$4:$C$63)</f>
        <v>0</v>
      </c>
    </row>
    <row r="24" spans="2:3">
      <c r="B24" s="5" t="s">
        <v>24</v>
      </c>
      <c r="C24" s="14">
        <f>IF(AND(C20&gt;=covenant,C21&gt;=0),"Factible","No factible")</f>
        <v>0</v>
      </c>
    </row>
    <row r="25" spans="2:3">
      <c r="B25" s="5" t="s">
        <v>25</v>
      </c>
      <c r="C25" s="15" t="s">
        <v>26</v>
      </c>
    </row>
    <row r="26" spans="2:3">
      <c r="B26" s="5" t="s">
        <v>27</v>
      </c>
      <c r="C26" s="15" t="s">
        <v>28</v>
      </c>
    </row>
    <row r="36" spans="2:2">
      <c r="B36" s="16" t="s">
        <v>31</v>
      </c>
    </row>
  </sheetData>
  <mergeCells count="6">
    <mergeCell ref="B4:C4"/>
    <mergeCell ref="B11:C11"/>
    <mergeCell ref="B14:C14"/>
    <mergeCell ref="B17:C17"/>
    <mergeCell ref="E2:N4"/>
    <mergeCell ref="E5:N6"/>
  </mergeCells>
  <conditionalFormatting sqref="C20">
    <cfRule type="cellIs" dxfId="2" priority="3" operator="lessThan">
      <formula>covenant</formula>
    </cfRule>
  </conditionalFormatting>
  <conditionalFormatting sqref="C21">
    <cfRule type="cellIs" dxfId="3" priority="4" operator="lessThan">
      <formula>0</formula>
    </cfRule>
  </conditionalFormatting>
  <conditionalFormatting sqref="C24">
    <cfRule type="containsText" dxfId="0" priority="1" operator="containsText" text="No factible">
      <formula>NOT(ISERROR(SEARCH("No factible",C24)))</formula>
    </cfRule>
    <cfRule type="containsText" dxfId="1" priority="2" operator="containsText" text="Factible">
      <formula>NOT(ISERROR(SEARCH("Factible",C24)))</formula>
    </cfRule>
  </conditionalFormatting>
  <dataValidations count="1">
    <dataValidation type="list" allowBlank="1" showInputMessage="1" showErrorMessage="1" sqref="C9">
      <formula1>"frances,aleman,bullet"</formula1>
    </dataValidation>
  </dataValidation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M65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5"/>
  <cols>
    <col min="1" max="1" width="8.7109375" customWidth="1"/>
    <col min="2" max="13" width="14.7109375" customWidth="1"/>
  </cols>
  <sheetData>
    <row r="1" spans="1:13">
      <c r="A1" s="1" t="s">
        <v>32</v>
      </c>
    </row>
    <row r="2" spans="1:13">
      <c r="A2" s="3" t="s">
        <v>33</v>
      </c>
    </row>
    <row r="3" spans="1:13">
      <c r="A3" s="17" t="s">
        <v>34</v>
      </c>
      <c r="B3" s="17" t="s">
        <v>35</v>
      </c>
      <c r="C3" s="17" t="s">
        <v>36</v>
      </c>
      <c r="D3" s="17" t="s">
        <v>37</v>
      </c>
      <c r="E3" s="17" t="s">
        <v>38</v>
      </c>
      <c r="F3" s="17" t="s">
        <v>39</v>
      </c>
      <c r="G3" s="17" t="s">
        <v>40</v>
      </c>
      <c r="H3" s="17" t="s">
        <v>41</v>
      </c>
      <c r="I3" s="17" t="s">
        <v>15</v>
      </c>
      <c r="J3" s="17" t="s">
        <v>42</v>
      </c>
      <c r="K3" s="17" t="s">
        <v>43</v>
      </c>
      <c r="L3" s="17" t="s">
        <v>44</v>
      </c>
      <c r="M3" s="17" t="s">
        <v>45</v>
      </c>
    </row>
    <row r="4" spans="1:13">
      <c r="A4" s="11">
        <f>IF(1&lt;=plazo,1,"")</f>
        <v>0</v>
      </c>
      <c r="B4" s="11">
        <f>IF((1&lt;=plazo),monto,"")</f>
        <v>0</v>
      </c>
      <c r="C4" s="11">
        <f>IF((1&lt;=plazo),B4*tasa/100/m,"")</f>
        <v>0</v>
      </c>
      <c r="D4" s="11">
        <f>IF((1&lt;=plazo),IF(1&lt;=gracia,0,IF(metodo="frances",MIN(B4,IF(tasa&gt;0,monto*(tasa/100/m)/(1-(1+tasa/100/m)^-MAX(plazo-gracia,1)),monto/MAX(plazo-gracia,1))-C4),IF(metodo="aleman",MIN(B4,monto/MAX(plazo-gracia,1)),IF(1=plazo,B4,0)))),"")</f>
        <v>0</v>
      </c>
      <c r="E4" s="11">
        <f>IF((1&lt;=plazo),C4+D4,"")</f>
        <v>0</v>
      </c>
      <c r="F4" s="11">
        <f>IF((1&lt;=plazo),B4-D4,"")</f>
        <v>0</v>
      </c>
      <c r="G4" s="11">
        <f>IF((1&lt;=plazo),cfads0*(1+crec/100)^0,"")</f>
        <v>0</v>
      </c>
      <c r="H4" s="18">
        <f>IF((1&lt;=plazo),IF(E4=0,"No calculable",G4/E4),"")</f>
        <v>0</v>
      </c>
      <c r="I4" s="11">
        <f>IF((1&lt;=plazo),caja0,"")</f>
        <v>0</v>
      </c>
      <c r="J4" s="11">
        <f>IF((1&lt;=plazo),I4+G4-E4,"")</f>
        <v>0</v>
      </c>
      <c r="K4" s="11">
        <f>IF((1&lt;=plazo),J4-cajamin,"")</f>
        <v>0</v>
      </c>
      <c r="L4" s="18">
        <f>IF((1&lt;=plazo),covenant,"")</f>
        <v>0</v>
      </c>
      <c r="M4" s="11">
        <f>IF((1&lt;=plazo),cajamin,"")</f>
        <v>0</v>
      </c>
    </row>
    <row r="5" spans="1:13">
      <c r="A5" s="11">
        <f>IF(2&lt;=plazo,2,"")</f>
        <v>0</v>
      </c>
      <c r="B5" s="11">
        <f>IF((2&lt;=plazo),F4,"")</f>
        <v>0</v>
      </c>
      <c r="C5" s="11">
        <f>IF((2&lt;=plazo),B5*tasa/100/m,"")</f>
        <v>0</v>
      </c>
      <c r="D5" s="11">
        <f>IF((2&lt;=plazo),IF(2&lt;=gracia,0,IF(metodo="frances",MIN(B5,IF(tasa&gt;0,monto*(tasa/100/m)/(1-(1+tasa/100/m)^-MAX(plazo-gracia,1)),monto/MAX(plazo-gracia,1))-C5),IF(metodo="aleman",MIN(B5,monto/MAX(plazo-gracia,1)),IF(2=plazo,B5,0)))),"")</f>
        <v>0</v>
      </c>
      <c r="E5" s="11">
        <f>IF((2&lt;=plazo),C5+D5,"")</f>
        <v>0</v>
      </c>
      <c r="F5" s="11">
        <f>IF((2&lt;=plazo),B5-D5,"")</f>
        <v>0</v>
      </c>
      <c r="G5" s="11">
        <f>IF((2&lt;=plazo),cfads0*(1+crec/100)^1,"")</f>
        <v>0</v>
      </c>
      <c r="H5" s="18">
        <f>IF((2&lt;=plazo),IF(E5=0,"No calculable",G5/E5),"")</f>
        <v>0</v>
      </c>
      <c r="I5" s="11">
        <f>IF((2&lt;=plazo),J4,"")</f>
        <v>0</v>
      </c>
      <c r="J5" s="11">
        <f>IF((2&lt;=plazo),I5+G5-E5,"")</f>
        <v>0</v>
      </c>
      <c r="K5" s="11">
        <f>IF((2&lt;=plazo),J5-cajamin,"")</f>
        <v>0</v>
      </c>
      <c r="L5" s="18">
        <f>IF((2&lt;=plazo),covenant,"")</f>
        <v>0</v>
      </c>
      <c r="M5" s="11">
        <f>IF((2&lt;=plazo),cajamin,"")</f>
        <v>0</v>
      </c>
    </row>
    <row r="6" spans="1:13">
      <c r="A6" s="11">
        <f>IF(3&lt;=plazo,3,"")</f>
        <v>0</v>
      </c>
      <c r="B6" s="11">
        <f>IF((3&lt;=plazo),F5,"")</f>
        <v>0</v>
      </c>
      <c r="C6" s="11">
        <f>IF((3&lt;=plazo),B6*tasa/100/m,"")</f>
        <v>0</v>
      </c>
      <c r="D6" s="11">
        <f>IF((3&lt;=plazo),IF(3&lt;=gracia,0,IF(metodo="frances",MIN(B6,IF(tasa&gt;0,monto*(tasa/100/m)/(1-(1+tasa/100/m)^-MAX(plazo-gracia,1)),monto/MAX(plazo-gracia,1))-C6),IF(metodo="aleman",MIN(B6,monto/MAX(plazo-gracia,1)),IF(3=plazo,B6,0)))),"")</f>
        <v>0</v>
      </c>
      <c r="E6" s="11">
        <f>IF((3&lt;=plazo),C6+D6,"")</f>
        <v>0</v>
      </c>
      <c r="F6" s="11">
        <f>IF((3&lt;=plazo),B6-D6,"")</f>
        <v>0</v>
      </c>
      <c r="G6" s="11">
        <f>IF((3&lt;=plazo),cfads0*(1+crec/100)^2,"")</f>
        <v>0</v>
      </c>
      <c r="H6" s="18">
        <f>IF((3&lt;=plazo),IF(E6=0,"No calculable",G6/E6),"")</f>
        <v>0</v>
      </c>
      <c r="I6" s="11">
        <f>IF((3&lt;=plazo),J5,"")</f>
        <v>0</v>
      </c>
      <c r="J6" s="11">
        <f>IF((3&lt;=plazo),I6+G6-E6,"")</f>
        <v>0</v>
      </c>
      <c r="K6" s="11">
        <f>IF((3&lt;=plazo),J6-cajamin,"")</f>
        <v>0</v>
      </c>
      <c r="L6" s="18">
        <f>IF((3&lt;=plazo),covenant,"")</f>
        <v>0</v>
      </c>
      <c r="M6" s="11">
        <f>IF((3&lt;=plazo),cajamin,"")</f>
        <v>0</v>
      </c>
    </row>
    <row r="7" spans="1:13">
      <c r="A7" s="11">
        <f>IF(4&lt;=plazo,4,"")</f>
        <v>0</v>
      </c>
      <c r="B7" s="11">
        <f>IF((4&lt;=plazo),F6,"")</f>
        <v>0</v>
      </c>
      <c r="C7" s="11">
        <f>IF((4&lt;=plazo),B7*tasa/100/m,"")</f>
        <v>0</v>
      </c>
      <c r="D7" s="11">
        <f>IF((4&lt;=plazo),IF(4&lt;=gracia,0,IF(metodo="frances",MIN(B7,IF(tasa&gt;0,monto*(tasa/100/m)/(1-(1+tasa/100/m)^-MAX(plazo-gracia,1)),monto/MAX(plazo-gracia,1))-C7),IF(metodo="aleman",MIN(B7,monto/MAX(plazo-gracia,1)),IF(4=plazo,B7,0)))),"")</f>
        <v>0</v>
      </c>
      <c r="E7" s="11">
        <f>IF((4&lt;=plazo),C7+D7,"")</f>
        <v>0</v>
      </c>
      <c r="F7" s="11">
        <f>IF((4&lt;=plazo),B7-D7,"")</f>
        <v>0</v>
      </c>
      <c r="G7" s="11">
        <f>IF((4&lt;=plazo),cfads0*(1+crec/100)^3,"")</f>
        <v>0</v>
      </c>
      <c r="H7" s="18">
        <f>IF((4&lt;=plazo),IF(E7=0,"No calculable",G7/E7),"")</f>
        <v>0</v>
      </c>
      <c r="I7" s="11">
        <f>IF((4&lt;=plazo),J6,"")</f>
        <v>0</v>
      </c>
      <c r="J7" s="11">
        <f>IF((4&lt;=plazo),I7+G7-E7,"")</f>
        <v>0</v>
      </c>
      <c r="K7" s="11">
        <f>IF((4&lt;=plazo),J7-cajamin,"")</f>
        <v>0</v>
      </c>
      <c r="L7" s="18">
        <f>IF((4&lt;=plazo),covenant,"")</f>
        <v>0</v>
      </c>
      <c r="M7" s="11">
        <f>IF((4&lt;=plazo),cajamin,"")</f>
        <v>0</v>
      </c>
    </row>
    <row r="8" spans="1:13">
      <c r="A8" s="11">
        <f>IF(5&lt;=plazo,5,"")</f>
        <v>0</v>
      </c>
      <c r="B8" s="11">
        <f>IF((5&lt;=plazo),F7,"")</f>
        <v>0</v>
      </c>
      <c r="C8" s="11">
        <f>IF((5&lt;=plazo),B8*tasa/100/m,"")</f>
        <v>0</v>
      </c>
      <c r="D8" s="11">
        <f>IF((5&lt;=plazo),IF(5&lt;=gracia,0,IF(metodo="frances",MIN(B8,IF(tasa&gt;0,monto*(tasa/100/m)/(1-(1+tasa/100/m)^-MAX(plazo-gracia,1)),monto/MAX(plazo-gracia,1))-C8),IF(metodo="aleman",MIN(B8,monto/MAX(plazo-gracia,1)),IF(5=plazo,B8,0)))),"")</f>
        <v>0</v>
      </c>
      <c r="E8" s="11">
        <f>IF((5&lt;=plazo),C8+D8,"")</f>
        <v>0</v>
      </c>
      <c r="F8" s="11">
        <f>IF((5&lt;=plazo),B8-D8,"")</f>
        <v>0</v>
      </c>
      <c r="G8" s="11">
        <f>IF((5&lt;=plazo),cfads0*(1+crec/100)^4,"")</f>
        <v>0</v>
      </c>
      <c r="H8" s="18">
        <f>IF((5&lt;=plazo),IF(E8=0,"No calculable",G8/E8),"")</f>
        <v>0</v>
      </c>
      <c r="I8" s="11">
        <f>IF((5&lt;=plazo),J7,"")</f>
        <v>0</v>
      </c>
      <c r="J8" s="11">
        <f>IF((5&lt;=plazo),I8+G8-E8,"")</f>
        <v>0</v>
      </c>
      <c r="K8" s="11">
        <f>IF((5&lt;=plazo),J8-cajamin,"")</f>
        <v>0</v>
      </c>
      <c r="L8" s="18">
        <f>IF((5&lt;=plazo),covenant,"")</f>
        <v>0</v>
      </c>
      <c r="M8" s="11">
        <f>IF((5&lt;=plazo),cajamin,"")</f>
        <v>0</v>
      </c>
    </row>
    <row r="9" spans="1:13">
      <c r="A9" s="11">
        <f>IF(6&lt;=plazo,6,"")</f>
        <v>0</v>
      </c>
      <c r="B9" s="11">
        <f>IF((6&lt;=plazo),F8,"")</f>
        <v>0</v>
      </c>
      <c r="C9" s="11">
        <f>IF((6&lt;=plazo),B9*tasa/100/m,"")</f>
        <v>0</v>
      </c>
      <c r="D9" s="11">
        <f>IF((6&lt;=plazo),IF(6&lt;=gracia,0,IF(metodo="frances",MIN(B9,IF(tasa&gt;0,monto*(tasa/100/m)/(1-(1+tasa/100/m)^-MAX(plazo-gracia,1)),monto/MAX(plazo-gracia,1))-C9),IF(metodo="aleman",MIN(B9,monto/MAX(plazo-gracia,1)),IF(6=plazo,B9,0)))),"")</f>
        <v>0</v>
      </c>
      <c r="E9" s="11">
        <f>IF((6&lt;=plazo),C9+D9,"")</f>
        <v>0</v>
      </c>
      <c r="F9" s="11">
        <f>IF((6&lt;=plazo),B9-D9,"")</f>
        <v>0</v>
      </c>
      <c r="G9" s="11">
        <f>IF((6&lt;=plazo),cfads0*(1+crec/100)^5,"")</f>
        <v>0</v>
      </c>
      <c r="H9" s="18">
        <f>IF((6&lt;=plazo),IF(E9=0,"No calculable",G9/E9),"")</f>
        <v>0</v>
      </c>
      <c r="I9" s="11">
        <f>IF((6&lt;=plazo),J8,"")</f>
        <v>0</v>
      </c>
      <c r="J9" s="11">
        <f>IF((6&lt;=plazo),I9+G9-E9,"")</f>
        <v>0</v>
      </c>
      <c r="K9" s="11">
        <f>IF((6&lt;=plazo),J9-cajamin,"")</f>
        <v>0</v>
      </c>
      <c r="L9" s="18">
        <f>IF((6&lt;=plazo),covenant,"")</f>
        <v>0</v>
      </c>
      <c r="M9" s="11">
        <f>IF((6&lt;=plazo),cajamin,"")</f>
        <v>0</v>
      </c>
    </row>
    <row r="10" spans="1:13">
      <c r="A10" s="11">
        <f>IF(7&lt;=plazo,7,"")</f>
        <v>0</v>
      </c>
      <c r="B10" s="11">
        <f>IF((7&lt;=plazo),F9,"")</f>
        <v>0</v>
      </c>
      <c r="C10" s="11">
        <f>IF((7&lt;=plazo),B10*tasa/100/m,"")</f>
        <v>0</v>
      </c>
      <c r="D10" s="11">
        <f>IF((7&lt;=plazo),IF(7&lt;=gracia,0,IF(metodo="frances",MIN(B10,IF(tasa&gt;0,monto*(tasa/100/m)/(1-(1+tasa/100/m)^-MAX(plazo-gracia,1)),monto/MAX(plazo-gracia,1))-C10),IF(metodo="aleman",MIN(B10,monto/MAX(plazo-gracia,1)),IF(7=plazo,B10,0)))),"")</f>
        <v>0</v>
      </c>
      <c r="E10" s="11">
        <f>IF((7&lt;=plazo),C10+D10,"")</f>
        <v>0</v>
      </c>
      <c r="F10" s="11">
        <f>IF((7&lt;=plazo),B10-D10,"")</f>
        <v>0</v>
      </c>
      <c r="G10" s="11">
        <f>IF((7&lt;=plazo),cfads0*(1+crec/100)^6,"")</f>
        <v>0</v>
      </c>
      <c r="H10" s="18">
        <f>IF((7&lt;=plazo),IF(E10=0,"No calculable",G10/E10),"")</f>
        <v>0</v>
      </c>
      <c r="I10" s="11">
        <f>IF((7&lt;=plazo),J9,"")</f>
        <v>0</v>
      </c>
      <c r="J10" s="11">
        <f>IF((7&lt;=plazo),I10+G10-E10,"")</f>
        <v>0</v>
      </c>
      <c r="K10" s="11">
        <f>IF((7&lt;=plazo),J10-cajamin,"")</f>
        <v>0</v>
      </c>
      <c r="L10" s="18">
        <f>IF((7&lt;=plazo),covenant,"")</f>
        <v>0</v>
      </c>
      <c r="M10" s="11">
        <f>IF((7&lt;=plazo),cajamin,"")</f>
        <v>0</v>
      </c>
    </row>
    <row r="11" spans="1:13">
      <c r="A11" s="11">
        <f>IF(8&lt;=plazo,8,"")</f>
        <v>0</v>
      </c>
      <c r="B11" s="11">
        <f>IF((8&lt;=plazo),F10,"")</f>
        <v>0</v>
      </c>
      <c r="C11" s="11">
        <f>IF((8&lt;=plazo),B11*tasa/100/m,"")</f>
        <v>0</v>
      </c>
      <c r="D11" s="11">
        <f>IF((8&lt;=plazo),IF(8&lt;=gracia,0,IF(metodo="frances",MIN(B11,IF(tasa&gt;0,monto*(tasa/100/m)/(1-(1+tasa/100/m)^-MAX(plazo-gracia,1)),monto/MAX(plazo-gracia,1))-C11),IF(metodo="aleman",MIN(B11,monto/MAX(plazo-gracia,1)),IF(8=plazo,B11,0)))),"")</f>
        <v>0</v>
      </c>
      <c r="E11" s="11">
        <f>IF((8&lt;=plazo),C11+D11,"")</f>
        <v>0</v>
      </c>
      <c r="F11" s="11">
        <f>IF((8&lt;=plazo),B11-D11,"")</f>
        <v>0</v>
      </c>
      <c r="G11" s="11">
        <f>IF((8&lt;=plazo),cfads0*(1+crec/100)^7,"")</f>
        <v>0</v>
      </c>
      <c r="H11" s="18">
        <f>IF((8&lt;=plazo),IF(E11=0,"No calculable",G11/E11),"")</f>
        <v>0</v>
      </c>
      <c r="I11" s="11">
        <f>IF((8&lt;=plazo),J10,"")</f>
        <v>0</v>
      </c>
      <c r="J11" s="11">
        <f>IF((8&lt;=plazo),I11+G11-E11,"")</f>
        <v>0</v>
      </c>
      <c r="K11" s="11">
        <f>IF((8&lt;=plazo),J11-cajamin,"")</f>
        <v>0</v>
      </c>
      <c r="L11" s="18">
        <f>IF((8&lt;=plazo),covenant,"")</f>
        <v>0</v>
      </c>
      <c r="M11" s="11">
        <f>IF((8&lt;=plazo),cajamin,"")</f>
        <v>0</v>
      </c>
    </row>
    <row r="12" spans="1:13">
      <c r="A12" s="11">
        <f>IF(9&lt;=plazo,9,"")</f>
        <v>0</v>
      </c>
      <c r="B12" s="11">
        <f>IF((9&lt;=plazo),F11,"")</f>
        <v>0</v>
      </c>
      <c r="C12" s="11">
        <f>IF((9&lt;=plazo),B12*tasa/100/m,"")</f>
        <v>0</v>
      </c>
      <c r="D12" s="11">
        <f>IF((9&lt;=plazo),IF(9&lt;=gracia,0,IF(metodo="frances",MIN(B12,IF(tasa&gt;0,monto*(tasa/100/m)/(1-(1+tasa/100/m)^-MAX(plazo-gracia,1)),monto/MAX(plazo-gracia,1))-C12),IF(metodo="aleman",MIN(B12,monto/MAX(plazo-gracia,1)),IF(9=plazo,B12,0)))),"")</f>
        <v>0</v>
      </c>
      <c r="E12" s="11">
        <f>IF((9&lt;=plazo),C12+D12,"")</f>
        <v>0</v>
      </c>
      <c r="F12" s="11">
        <f>IF((9&lt;=plazo),B12-D12,"")</f>
        <v>0</v>
      </c>
      <c r="G12" s="11">
        <f>IF((9&lt;=plazo),cfads0*(1+crec/100)^8,"")</f>
        <v>0</v>
      </c>
      <c r="H12" s="18">
        <f>IF((9&lt;=plazo),IF(E12=0,"No calculable",G12/E12),"")</f>
        <v>0</v>
      </c>
      <c r="I12" s="11">
        <f>IF((9&lt;=plazo),J11,"")</f>
        <v>0</v>
      </c>
      <c r="J12" s="11">
        <f>IF((9&lt;=plazo),I12+G12-E12,"")</f>
        <v>0</v>
      </c>
      <c r="K12" s="11">
        <f>IF((9&lt;=plazo),J12-cajamin,"")</f>
        <v>0</v>
      </c>
      <c r="L12" s="18">
        <f>IF((9&lt;=plazo),covenant,"")</f>
        <v>0</v>
      </c>
      <c r="M12" s="11">
        <f>IF((9&lt;=plazo),cajamin,"")</f>
        <v>0</v>
      </c>
    </row>
    <row r="13" spans="1:13">
      <c r="A13" s="11">
        <f>IF(10&lt;=plazo,10,"")</f>
        <v>0</v>
      </c>
      <c r="B13" s="11">
        <f>IF((10&lt;=plazo),F12,"")</f>
        <v>0</v>
      </c>
      <c r="C13" s="11">
        <f>IF((10&lt;=plazo),B13*tasa/100/m,"")</f>
        <v>0</v>
      </c>
      <c r="D13" s="11">
        <f>IF((10&lt;=plazo),IF(10&lt;=gracia,0,IF(metodo="frances",MIN(B13,IF(tasa&gt;0,monto*(tasa/100/m)/(1-(1+tasa/100/m)^-MAX(plazo-gracia,1)),monto/MAX(plazo-gracia,1))-C13),IF(metodo="aleman",MIN(B13,monto/MAX(plazo-gracia,1)),IF(10=plazo,B13,0)))),"")</f>
        <v>0</v>
      </c>
      <c r="E13" s="11">
        <f>IF((10&lt;=plazo),C13+D13,"")</f>
        <v>0</v>
      </c>
      <c r="F13" s="11">
        <f>IF((10&lt;=plazo),B13-D13,"")</f>
        <v>0</v>
      </c>
      <c r="G13" s="11">
        <f>IF((10&lt;=plazo),cfads0*(1+crec/100)^9,"")</f>
        <v>0</v>
      </c>
      <c r="H13" s="18">
        <f>IF((10&lt;=plazo),IF(E13=0,"No calculable",G13/E13),"")</f>
        <v>0</v>
      </c>
      <c r="I13" s="11">
        <f>IF((10&lt;=plazo),J12,"")</f>
        <v>0</v>
      </c>
      <c r="J13" s="11">
        <f>IF((10&lt;=plazo),I13+G13-E13,"")</f>
        <v>0</v>
      </c>
      <c r="K13" s="11">
        <f>IF((10&lt;=plazo),J13-cajamin,"")</f>
        <v>0</v>
      </c>
      <c r="L13" s="18">
        <f>IF((10&lt;=plazo),covenant,"")</f>
        <v>0</v>
      </c>
      <c r="M13" s="11">
        <f>IF((10&lt;=plazo),cajamin,"")</f>
        <v>0</v>
      </c>
    </row>
    <row r="14" spans="1:13">
      <c r="A14" s="11">
        <f>IF(11&lt;=plazo,11,"")</f>
        <v>0</v>
      </c>
      <c r="B14" s="11">
        <f>IF((11&lt;=plazo),F13,"")</f>
        <v>0</v>
      </c>
      <c r="C14" s="11">
        <f>IF((11&lt;=plazo),B14*tasa/100/m,"")</f>
        <v>0</v>
      </c>
      <c r="D14" s="11">
        <f>IF((11&lt;=plazo),IF(11&lt;=gracia,0,IF(metodo="frances",MIN(B14,IF(tasa&gt;0,monto*(tasa/100/m)/(1-(1+tasa/100/m)^-MAX(plazo-gracia,1)),monto/MAX(plazo-gracia,1))-C14),IF(metodo="aleman",MIN(B14,monto/MAX(plazo-gracia,1)),IF(11=plazo,B14,0)))),"")</f>
        <v>0</v>
      </c>
      <c r="E14" s="11">
        <f>IF((11&lt;=plazo),C14+D14,"")</f>
        <v>0</v>
      </c>
      <c r="F14" s="11">
        <f>IF((11&lt;=plazo),B14-D14,"")</f>
        <v>0</v>
      </c>
      <c r="G14" s="11">
        <f>IF((11&lt;=plazo),cfads0*(1+crec/100)^10,"")</f>
        <v>0</v>
      </c>
      <c r="H14" s="18">
        <f>IF((11&lt;=plazo),IF(E14=0,"No calculable",G14/E14),"")</f>
        <v>0</v>
      </c>
      <c r="I14" s="11">
        <f>IF((11&lt;=plazo),J13,"")</f>
        <v>0</v>
      </c>
      <c r="J14" s="11">
        <f>IF((11&lt;=plazo),I14+G14-E14,"")</f>
        <v>0</v>
      </c>
      <c r="K14" s="11">
        <f>IF((11&lt;=plazo),J14-cajamin,"")</f>
        <v>0</v>
      </c>
      <c r="L14" s="18">
        <f>IF((11&lt;=plazo),covenant,"")</f>
        <v>0</v>
      </c>
      <c r="M14" s="11">
        <f>IF((11&lt;=plazo),cajamin,"")</f>
        <v>0</v>
      </c>
    </row>
    <row r="15" spans="1:13">
      <c r="A15" s="11">
        <f>IF(12&lt;=plazo,12,"")</f>
        <v>0</v>
      </c>
      <c r="B15" s="11">
        <f>IF((12&lt;=plazo),F14,"")</f>
        <v>0</v>
      </c>
      <c r="C15" s="11">
        <f>IF((12&lt;=plazo),B15*tasa/100/m,"")</f>
        <v>0</v>
      </c>
      <c r="D15" s="11">
        <f>IF((12&lt;=plazo),IF(12&lt;=gracia,0,IF(metodo="frances",MIN(B15,IF(tasa&gt;0,monto*(tasa/100/m)/(1-(1+tasa/100/m)^-MAX(plazo-gracia,1)),monto/MAX(plazo-gracia,1))-C15),IF(metodo="aleman",MIN(B15,monto/MAX(plazo-gracia,1)),IF(12=plazo,B15,0)))),"")</f>
        <v>0</v>
      </c>
      <c r="E15" s="11">
        <f>IF((12&lt;=plazo),C15+D15,"")</f>
        <v>0</v>
      </c>
      <c r="F15" s="11">
        <f>IF((12&lt;=plazo),B15-D15,"")</f>
        <v>0</v>
      </c>
      <c r="G15" s="11">
        <f>IF((12&lt;=plazo),cfads0*(1+crec/100)^11,"")</f>
        <v>0</v>
      </c>
      <c r="H15" s="18">
        <f>IF((12&lt;=plazo),IF(E15=0,"No calculable",G15/E15),"")</f>
        <v>0</v>
      </c>
      <c r="I15" s="11">
        <f>IF((12&lt;=plazo),J14,"")</f>
        <v>0</v>
      </c>
      <c r="J15" s="11">
        <f>IF((12&lt;=plazo),I15+G15-E15,"")</f>
        <v>0</v>
      </c>
      <c r="K15" s="11">
        <f>IF((12&lt;=plazo),J15-cajamin,"")</f>
        <v>0</v>
      </c>
      <c r="L15" s="18">
        <f>IF((12&lt;=plazo),covenant,"")</f>
        <v>0</v>
      </c>
      <c r="M15" s="11">
        <f>IF((12&lt;=plazo),cajamin,"")</f>
        <v>0</v>
      </c>
    </row>
    <row r="16" spans="1:13">
      <c r="A16" s="11">
        <f>IF(13&lt;=plazo,13,"")</f>
        <v>0</v>
      </c>
      <c r="B16" s="11">
        <f>IF((13&lt;=plazo),F15,"")</f>
        <v>0</v>
      </c>
      <c r="C16" s="11">
        <f>IF((13&lt;=plazo),B16*tasa/100/m,"")</f>
        <v>0</v>
      </c>
      <c r="D16" s="11">
        <f>IF((13&lt;=plazo),IF(13&lt;=gracia,0,IF(metodo="frances",MIN(B16,IF(tasa&gt;0,monto*(tasa/100/m)/(1-(1+tasa/100/m)^-MAX(plazo-gracia,1)),monto/MAX(plazo-gracia,1))-C16),IF(metodo="aleman",MIN(B16,monto/MAX(plazo-gracia,1)),IF(13=plazo,B16,0)))),"")</f>
        <v>0</v>
      </c>
      <c r="E16" s="11">
        <f>IF((13&lt;=plazo),C16+D16,"")</f>
        <v>0</v>
      </c>
      <c r="F16" s="11">
        <f>IF((13&lt;=plazo),B16-D16,"")</f>
        <v>0</v>
      </c>
      <c r="G16" s="11">
        <f>IF((13&lt;=plazo),cfads0*(1+crec/100)^12,"")</f>
        <v>0</v>
      </c>
      <c r="H16" s="18">
        <f>IF((13&lt;=plazo),IF(E16=0,"No calculable",G16/E16),"")</f>
        <v>0</v>
      </c>
      <c r="I16" s="11">
        <f>IF((13&lt;=plazo),J15,"")</f>
        <v>0</v>
      </c>
      <c r="J16" s="11">
        <f>IF((13&lt;=plazo),I16+G16-E16,"")</f>
        <v>0</v>
      </c>
      <c r="K16" s="11">
        <f>IF((13&lt;=plazo),J16-cajamin,"")</f>
        <v>0</v>
      </c>
      <c r="L16" s="18">
        <f>IF((13&lt;=plazo),covenant,"")</f>
        <v>0</v>
      </c>
      <c r="M16" s="11">
        <f>IF((13&lt;=plazo),cajamin,"")</f>
        <v>0</v>
      </c>
    </row>
    <row r="17" spans="1:13">
      <c r="A17" s="11">
        <f>IF(14&lt;=plazo,14,"")</f>
        <v>0</v>
      </c>
      <c r="B17" s="11">
        <f>IF((14&lt;=plazo),F16,"")</f>
        <v>0</v>
      </c>
      <c r="C17" s="11">
        <f>IF((14&lt;=plazo),B17*tasa/100/m,"")</f>
        <v>0</v>
      </c>
      <c r="D17" s="11">
        <f>IF((14&lt;=plazo),IF(14&lt;=gracia,0,IF(metodo="frances",MIN(B17,IF(tasa&gt;0,monto*(tasa/100/m)/(1-(1+tasa/100/m)^-MAX(plazo-gracia,1)),monto/MAX(plazo-gracia,1))-C17),IF(metodo="aleman",MIN(B17,monto/MAX(plazo-gracia,1)),IF(14=plazo,B17,0)))),"")</f>
        <v>0</v>
      </c>
      <c r="E17" s="11">
        <f>IF((14&lt;=plazo),C17+D17,"")</f>
        <v>0</v>
      </c>
      <c r="F17" s="11">
        <f>IF((14&lt;=plazo),B17-D17,"")</f>
        <v>0</v>
      </c>
      <c r="G17" s="11">
        <f>IF((14&lt;=plazo),cfads0*(1+crec/100)^13,"")</f>
        <v>0</v>
      </c>
      <c r="H17" s="18">
        <f>IF((14&lt;=plazo),IF(E17=0,"No calculable",G17/E17),"")</f>
        <v>0</v>
      </c>
      <c r="I17" s="11">
        <f>IF((14&lt;=plazo),J16,"")</f>
        <v>0</v>
      </c>
      <c r="J17" s="11">
        <f>IF((14&lt;=plazo),I17+G17-E17,"")</f>
        <v>0</v>
      </c>
      <c r="K17" s="11">
        <f>IF((14&lt;=plazo),J17-cajamin,"")</f>
        <v>0</v>
      </c>
      <c r="L17" s="18">
        <f>IF((14&lt;=plazo),covenant,"")</f>
        <v>0</v>
      </c>
      <c r="M17" s="11">
        <f>IF((14&lt;=plazo),cajamin,"")</f>
        <v>0</v>
      </c>
    </row>
    <row r="18" spans="1:13">
      <c r="A18" s="11">
        <f>IF(15&lt;=plazo,15,"")</f>
        <v>0</v>
      </c>
      <c r="B18" s="11">
        <f>IF((15&lt;=plazo),F17,"")</f>
        <v>0</v>
      </c>
      <c r="C18" s="11">
        <f>IF((15&lt;=plazo),B18*tasa/100/m,"")</f>
        <v>0</v>
      </c>
      <c r="D18" s="11">
        <f>IF((15&lt;=plazo),IF(15&lt;=gracia,0,IF(metodo="frances",MIN(B18,IF(tasa&gt;0,monto*(tasa/100/m)/(1-(1+tasa/100/m)^-MAX(plazo-gracia,1)),monto/MAX(plazo-gracia,1))-C18),IF(metodo="aleman",MIN(B18,monto/MAX(plazo-gracia,1)),IF(15=plazo,B18,0)))),"")</f>
        <v>0</v>
      </c>
      <c r="E18" s="11">
        <f>IF((15&lt;=plazo),C18+D18,"")</f>
        <v>0</v>
      </c>
      <c r="F18" s="11">
        <f>IF((15&lt;=plazo),B18-D18,"")</f>
        <v>0</v>
      </c>
      <c r="G18" s="11">
        <f>IF((15&lt;=plazo),cfads0*(1+crec/100)^14,"")</f>
        <v>0</v>
      </c>
      <c r="H18" s="18">
        <f>IF((15&lt;=plazo),IF(E18=0,"No calculable",G18/E18),"")</f>
        <v>0</v>
      </c>
      <c r="I18" s="11">
        <f>IF((15&lt;=plazo),J17,"")</f>
        <v>0</v>
      </c>
      <c r="J18" s="11">
        <f>IF((15&lt;=plazo),I18+G18-E18,"")</f>
        <v>0</v>
      </c>
      <c r="K18" s="11">
        <f>IF((15&lt;=plazo),J18-cajamin,"")</f>
        <v>0</v>
      </c>
      <c r="L18" s="18">
        <f>IF((15&lt;=plazo),covenant,"")</f>
        <v>0</v>
      </c>
      <c r="M18" s="11">
        <f>IF((15&lt;=plazo),cajamin,"")</f>
        <v>0</v>
      </c>
    </row>
    <row r="19" spans="1:13">
      <c r="A19" s="11">
        <f>IF(16&lt;=plazo,16,"")</f>
        <v>0</v>
      </c>
      <c r="B19" s="11">
        <f>IF((16&lt;=plazo),F18,"")</f>
        <v>0</v>
      </c>
      <c r="C19" s="11">
        <f>IF((16&lt;=plazo),B19*tasa/100/m,"")</f>
        <v>0</v>
      </c>
      <c r="D19" s="11">
        <f>IF((16&lt;=plazo),IF(16&lt;=gracia,0,IF(metodo="frances",MIN(B19,IF(tasa&gt;0,monto*(tasa/100/m)/(1-(1+tasa/100/m)^-MAX(plazo-gracia,1)),monto/MAX(plazo-gracia,1))-C19),IF(metodo="aleman",MIN(B19,monto/MAX(plazo-gracia,1)),IF(16=plazo,B19,0)))),"")</f>
        <v>0</v>
      </c>
      <c r="E19" s="11">
        <f>IF((16&lt;=plazo),C19+D19,"")</f>
        <v>0</v>
      </c>
      <c r="F19" s="11">
        <f>IF((16&lt;=plazo),B19-D19,"")</f>
        <v>0</v>
      </c>
      <c r="G19" s="11">
        <f>IF((16&lt;=plazo),cfads0*(1+crec/100)^15,"")</f>
        <v>0</v>
      </c>
      <c r="H19" s="18">
        <f>IF((16&lt;=plazo),IF(E19=0,"No calculable",G19/E19),"")</f>
        <v>0</v>
      </c>
      <c r="I19" s="11">
        <f>IF((16&lt;=plazo),J18,"")</f>
        <v>0</v>
      </c>
      <c r="J19" s="11">
        <f>IF((16&lt;=plazo),I19+G19-E19,"")</f>
        <v>0</v>
      </c>
      <c r="K19" s="11">
        <f>IF((16&lt;=plazo),J19-cajamin,"")</f>
        <v>0</v>
      </c>
      <c r="L19" s="18">
        <f>IF((16&lt;=plazo),covenant,"")</f>
        <v>0</v>
      </c>
      <c r="M19" s="11">
        <f>IF((16&lt;=plazo),cajamin,"")</f>
        <v>0</v>
      </c>
    </row>
    <row r="20" spans="1:13">
      <c r="A20" s="11">
        <f>IF(17&lt;=plazo,17,"")</f>
        <v>0</v>
      </c>
      <c r="B20" s="11">
        <f>IF((17&lt;=plazo),F19,"")</f>
        <v>0</v>
      </c>
      <c r="C20" s="11">
        <f>IF((17&lt;=plazo),B20*tasa/100/m,"")</f>
        <v>0</v>
      </c>
      <c r="D20" s="11">
        <f>IF((17&lt;=plazo),IF(17&lt;=gracia,0,IF(metodo="frances",MIN(B20,IF(tasa&gt;0,monto*(tasa/100/m)/(1-(1+tasa/100/m)^-MAX(plazo-gracia,1)),monto/MAX(plazo-gracia,1))-C20),IF(metodo="aleman",MIN(B20,monto/MAX(plazo-gracia,1)),IF(17=plazo,B20,0)))),"")</f>
        <v>0</v>
      </c>
      <c r="E20" s="11">
        <f>IF((17&lt;=plazo),C20+D20,"")</f>
        <v>0</v>
      </c>
      <c r="F20" s="11">
        <f>IF((17&lt;=plazo),B20-D20,"")</f>
        <v>0</v>
      </c>
      <c r="G20" s="11">
        <f>IF((17&lt;=plazo),cfads0*(1+crec/100)^16,"")</f>
        <v>0</v>
      </c>
      <c r="H20" s="18">
        <f>IF((17&lt;=plazo),IF(E20=0,"No calculable",G20/E20),"")</f>
        <v>0</v>
      </c>
      <c r="I20" s="11">
        <f>IF((17&lt;=plazo),J19,"")</f>
        <v>0</v>
      </c>
      <c r="J20" s="11">
        <f>IF((17&lt;=plazo),I20+G20-E20,"")</f>
        <v>0</v>
      </c>
      <c r="K20" s="11">
        <f>IF((17&lt;=plazo),J20-cajamin,"")</f>
        <v>0</v>
      </c>
      <c r="L20" s="18">
        <f>IF((17&lt;=plazo),covenant,"")</f>
        <v>0</v>
      </c>
      <c r="M20" s="11">
        <f>IF((17&lt;=plazo),cajamin,"")</f>
        <v>0</v>
      </c>
    </row>
    <row r="21" spans="1:13">
      <c r="A21" s="11">
        <f>IF(18&lt;=plazo,18,"")</f>
        <v>0</v>
      </c>
      <c r="B21" s="11">
        <f>IF((18&lt;=plazo),F20,"")</f>
        <v>0</v>
      </c>
      <c r="C21" s="11">
        <f>IF((18&lt;=plazo),B21*tasa/100/m,"")</f>
        <v>0</v>
      </c>
      <c r="D21" s="11">
        <f>IF((18&lt;=plazo),IF(18&lt;=gracia,0,IF(metodo="frances",MIN(B21,IF(tasa&gt;0,monto*(tasa/100/m)/(1-(1+tasa/100/m)^-MAX(plazo-gracia,1)),monto/MAX(plazo-gracia,1))-C21),IF(metodo="aleman",MIN(B21,monto/MAX(plazo-gracia,1)),IF(18=plazo,B21,0)))),"")</f>
        <v>0</v>
      </c>
      <c r="E21" s="11">
        <f>IF((18&lt;=plazo),C21+D21,"")</f>
        <v>0</v>
      </c>
      <c r="F21" s="11">
        <f>IF((18&lt;=plazo),B21-D21,"")</f>
        <v>0</v>
      </c>
      <c r="G21" s="11">
        <f>IF((18&lt;=plazo),cfads0*(1+crec/100)^17,"")</f>
        <v>0</v>
      </c>
      <c r="H21" s="18">
        <f>IF((18&lt;=plazo),IF(E21=0,"No calculable",G21/E21),"")</f>
        <v>0</v>
      </c>
      <c r="I21" s="11">
        <f>IF((18&lt;=plazo),J20,"")</f>
        <v>0</v>
      </c>
      <c r="J21" s="11">
        <f>IF((18&lt;=plazo),I21+G21-E21,"")</f>
        <v>0</v>
      </c>
      <c r="K21" s="11">
        <f>IF((18&lt;=plazo),J21-cajamin,"")</f>
        <v>0</v>
      </c>
      <c r="L21" s="18">
        <f>IF((18&lt;=plazo),covenant,"")</f>
        <v>0</v>
      </c>
      <c r="M21" s="11">
        <f>IF((18&lt;=plazo),cajamin,"")</f>
        <v>0</v>
      </c>
    </row>
    <row r="22" spans="1:13">
      <c r="A22" s="11">
        <f>IF(19&lt;=plazo,19,"")</f>
        <v>0</v>
      </c>
      <c r="B22" s="11">
        <f>IF((19&lt;=plazo),F21,"")</f>
        <v>0</v>
      </c>
      <c r="C22" s="11">
        <f>IF((19&lt;=plazo),B22*tasa/100/m,"")</f>
        <v>0</v>
      </c>
      <c r="D22" s="11">
        <f>IF((19&lt;=plazo),IF(19&lt;=gracia,0,IF(metodo="frances",MIN(B22,IF(tasa&gt;0,monto*(tasa/100/m)/(1-(1+tasa/100/m)^-MAX(plazo-gracia,1)),monto/MAX(plazo-gracia,1))-C22),IF(metodo="aleman",MIN(B22,monto/MAX(plazo-gracia,1)),IF(19=plazo,B22,0)))),"")</f>
        <v>0</v>
      </c>
      <c r="E22" s="11">
        <f>IF((19&lt;=plazo),C22+D22,"")</f>
        <v>0</v>
      </c>
      <c r="F22" s="11">
        <f>IF((19&lt;=plazo),B22-D22,"")</f>
        <v>0</v>
      </c>
      <c r="G22" s="11">
        <f>IF((19&lt;=plazo),cfads0*(1+crec/100)^18,"")</f>
        <v>0</v>
      </c>
      <c r="H22" s="18">
        <f>IF((19&lt;=plazo),IF(E22=0,"No calculable",G22/E22),"")</f>
        <v>0</v>
      </c>
      <c r="I22" s="11">
        <f>IF((19&lt;=plazo),J21,"")</f>
        <v>0</v>
      </c>
      <c r="J22" s="11">
        <f>IF((19&lt;=plazo),I22+G22-E22,"")</f>
        <v>0</v>
      </c>
      <c r="K22" s="11">
        <f>IF((19&lt;=plazo),J22-cajamin,"")</f>
        <v>0</v>
      </c>
      <c r="L22" s="18">
        <f>IF((19&lt;=plazo),covenant,"")</f>
        <v>0</v>
      </c>
      <c r="M22" s="11">
        <f>IF((19&lt;=plazo),cajamin,"")</f>
        <v>0</v>
      </c>
    </row>
    <row r="23" spans="1:13">
      <c r="A23" s="11">
        <f>IF(20&lt;=plazo,20,"")</f>
        <v>0</v>
      </c>
      <c r="B23" s="11">
        <f>IF((20&lt;=plazo),F22,"")</f>
        <v>0</v>
      </c>
      <c r="C23" s="11">
        <f>IF((20&lt;=plazo),B23*tasa/100/m,"")</f>
        <v>0</v>
      </c>
      <c r="D23" s="11">
        <f>IF((20&lt;=plazo),IF(20&lt;=gracia,0,IF(metodo="frances",MIN(B23,IF(tasa&gt;0,monto*(tasa/100/m)/(1-(1+tasa/100/m)^-MAX(plazo-gracia,1)),monto/MAX(plazo-gracia,1))-C23),IF(metodo="aleman",MIN(B23,monto/MAX(plazo-gracia,1)),IF(20=plazo,B23,0)))),"")</f>
        <v>0</v>
      </c>
      <c r="E23" s="11">
        <f>IF((20&lt;=plazo),C23+D23,"")</f>
        <v>0</v>
      </c>
      <c r="F23" s="11">
        <f>IF((20&lt;=plazo),B23-D23,"")</f>
        <v>0</v>
      </c>
      <c r="G23" s="11">
        <f>IF((20&lt;=plazo),cfads0*(1+crec/100)^19,"")</f>
        <v>0</v>
      </c>
      <c r="H23" s="18">
        <f>IF((20&lt;=plazo),IF(E23=0,"No calculable",G23/E23),"")</f>
        <v>0</v>
      </c>
      <c r="I23" s="11">
        <f>IF((20&lt;=plazo),J22,"")</f>
        <v>0</v>
      </c>
      <c r="J23" s="11">
        <f>IF((20&lt;=plazo),I23+G23-E23,"")</f>
        <v>0</v>
      </c>
      <c r="K23" s="11">
        <f>IF((20&lt;=plazo),J23-cajamin,"")</f>
        <v>0</v>
      </c>
      <c r="L23" s="18">
        <f>IF((20&lt;=plazo),covenant,"")</f>
        <v>0</v>
      </c>
      <c r="M23" s="11">
        <f>IF((20&lt;=plazo),cajamin,"")</f>
        <v>0</v>
      </c>
    </row>
    <row r="24" spans="1:13">
      <c r="A24" s="11">
        <f>IF(21&lt;=plazo,21,"")</f>
        <v>0</v>
      </c>
      <c r="B24" s="11">
        <f>IF((21&lt;=plazo),F23,"")</f>
        <v>0</v>
      </c>
      <c r="C24" s="11">
        <f>IF((21&lt;=plazo),B24*tasa/100/m,"")</f>
        <v>0</v>
      </c>
      <c r="D24" s="11">
        <f>IF((21&lt;=plazo),IF(21&lt;=gracia,0,IF(metodo="frances",MIN(B24,IF(tasa&gt;0,monto*(tasa/100/m)/(1-(1+tasa/100/m)^-MAX(plazo-gracia,1)),monto/MAX(plazo-gracia,1))-C24),IF(metodo="aleman",MIN(B24,monto/MAX(plazo-gracia,1)),IF(21=plazo,B24,0)))),"")</f>
        <v>0</v>
      </c>
      <c r="E24" s="11">
        <f>IF((21&lt;=plazo),C24+D24,"")</f>
        <v>0</v>
      </c>
      <c r="F24" s="11">
        <f>IF((21&lt;=plazo),B24-D24,"")</f>
        <v>0</v>
      </c>
      <c r="G24" s="11">
        <f>IF((21&lt;=plazo),cfads0*(1+crec/100)^20,"")</f>
        <v>0</v>
      </c>
      <c r="H24" s="18">
        <f>IF((21&lt;=plazo),IF(E24=0,"No calculable",G24/E24),"")</f>
        <v>0</v>
      </c>
      <c r="I24" s="11">
        <f>IF((21&lt;=plazo),J23,"")</f>
        <v>0</v>
      </c>
      <c r="J24" s="11">
        <f>IF((21&lt;=plazo),I24+G24-E24,"")</f>
        <v>0</v>
      </c>
      <c r="K24" s="11">
        <f>IF((21&lt;=plazo),J24-cajamin,"")</f>
        <v>0</v>
      </c>
      <c r="L24" s="18">
        <f>IF((21&lt;=plazo),covenant,"")</f>
        <v>0</v>
      </c>
      <c r="M24" s="11">
        <f>IF((21&lt;=plazo),cajamin,"")</f>
        <v>0</v>
      </c>
    </row>
    <row r="25" spans="1:13">
      <c r="A25" s="11">
        <f>IF(22&lt;=plazo,22,"")</f>
        <v>0</v>
      </c>
      <c r="B25" s="11">
        <f>IF((22&lt;=plazo),F24,"")</f>
        <v>0</v>
      </c>
      <c r="C25" s="11">
        <f>IF((22&lt;=plazo),B25*tasa/100/m,"")</f>
        <v>0</v>
      </c>
      <c r="D25" s="11">
        <f>IF((22&lt;=plazo),IF(22&lt;=gracia,0,IF(metodo="frances",MIN(B25,IF(tasa&gt;0,monto*(tasa/100/m)/(1-(1+tasa/100/m)^-MAX(plazo-gracia,1)),monto/MAX(plazo-gracia,1))-C25),IF(metodo="aleman",MIN(B25,monto/MAX(plazo-gracia,1)),IF(22=plazo,B25,0)))),"")</f>
        <v>0</v>
      </c>
      <c r="E25" s="11">
        <f>IF((22&lt;=plazo),C25+D25,"")</f>
        <v>0</v>
      </c>
      <c r="F25" s="11">
        <f>IF((22&lt;=plazo),B25-D25,"")</f>
        <v>0</v>
      </c>
      <c r="G25" s="11">
        <f>IF((22&lt;=plazo),cfads0*(1+crec/100)^21,"")</f>
        <v>0</v>
      </c>
      <c r="H25" s="18">
        <f>IF((22&lt;=plazo),IF(E25=0,"No calculable",G25/E25),"")</f>
        <v>0</v>
      </c>
      <c r="I25" s="11">
        <f>IF((22&lt;=plazo),J24,"")</f>
        <v>0</v>
      </c>
      <c r="J25" s="11">
        <f>IF((22&lt;=plazo),I25+G25-E25,"")</f>
        <v>0</v>
      </c>
      <c r="K25" s="11">
        <f>IF((22&lt;=plazo),J25-cajamin,"")</f>
        <v>0</v>
      </c>
      <c r="L25" s="18">
        <f>IF((22&lt;=plazo),covenant,"")</f>
        <v>0</v>
      </c>
      <c r="M25" s="11">
        <f>IF((22&lt;=plazo),cajamin,"")</f>
        <v>0</v>
      </c>
    </row>
    <row r="26" spans="1:13">
      <c r="A26" s="11">
        <f>IF(23&lt;=plazo,23,"")</f>
        <v>0</v>
      </c>
      <c r="B26" s="11">
        <f>IF((23&lt;=plazo),F25,"")</f>
        <v>0</v>
      </c>
      <c r="C26" s="11">
        <f>IF((23&lt;=plazo),B26*tasa/100/m,"")</f>
        <v>0</v>
      </c>
      <c r="D26" s="11">
        <f>IF((23&lt;=plazo),IF(23&lt;=gracia,0,IF(metodo="frances",MIN(B26,IF(tasa&gt;0,monto*(tasa/100/m)/(1-(1+tasa/100/m)^-MAX(plazo-gracia,1)),monto/MAX(plazo-gracia,1))-C26),IF(metodo="aleman",MIN(B26,monto/MAX(plazo-gracia,1)),IF(23=plazo,B26,0)))),"")</f>
        <v>0</v>
      </c>
      <c r="E26" s="11">
        <f>IF((23&lt;=plazo),C26+D26,"")</f>
        <v>0</v>
      </c>
      <c r="F26" s="11">
        <f>IF((23&lt;=plazo),B26-D26,"")</f>
        <v>0</v>
      </c>
      <c r="G26" s="11">
        <f>IF((23&lt;=plazo),cfads0*(1+crec/100)^22,"")</f>
        <v>0</v>
      </c>
      <c r="H26" s="18">
        <f>IF((23&lt;=plazo),IF(E26=0,"No calculable",G26/E26),"")</f>
        <v>0</v>
      </c>
      <c r="I26" s="11">
        <f>IF((23&lt;=plazo),J25,"")</f>
        <v>0</v>
      </c>
      <c r="J26" s="11">
        <f>IF((23&lt;=plazo),I26+G26-E26,"")</f>
        <v>0</v>
      </c>
      <c r="K26" s="11">
        <f>IF((23&lt;=plazo),J26-cajamin,"")</f>
        <v>0</v>
      </c>
      <c r="L26" s="18">
        <f>IF((23&lt;=plazo),covenant,"")</f>
        <v>0</v>
      </c>
      <c r="M26" s="11">
        <f>IF((23&lt;=plazo),cajamin,"")</f>
        <v>0</v>
      </c>
    </row>
    <row r="27" spans="1:13">
      <c r="A27" s="11">
        <f>IF(24&lt;=plazo,24,"")</f>
        <v>0</v>
      </c>
      <c r="B27" s="11">
        <f>IF((24&lt;=plazo),F26,"")</f>
        <v>0</v>
      </c>
      <c r="C27" s="11">
        <f>IF((24&lt;=plazo),B27*tasa/100/m,"")</f>
        <v>0</v>
      </c>
      <c r="D27" s="11">
        <f>IF((24&lt;=plazo),IF(24&lt;=gracia,0,IF(metodo="frances",MIN(B27,IF(tasa&gt;0,monto*(tasa/100/m)/(1-(1+tasa/100/m)^-MAX(plazo-gracia,1)),monto/MAX(plazo-gracia,1))-C27),IF(metodo="aleman",MIN(B27,monto/MAX(plazo-gracia,1)),IF(24=plazo,B27,0)))),"")</f>
        <v>0</v>
      </c>
      <c r="E27" s="11">
        <f>IF((24&lt;=plazo),C27+D27,"")</f>
        <v>0</v>
      </c>
      <c r="F27" s="11">
        <f>IF((24&lt;=plazo),B27-D27,"")</f>
        <v>0</v>
      </c>
      <c r="G27" s="11">
        <f>IF((24&lt;=plazo),cfads0*(1+crec/100)^23,"")</f>
        <v>0</v>
      </c>
      <c r="H27" s="18">
        <f>IF((24&lt;=plazo),IF(E27=0,"No calculable",G27/E27),"")</f>
        <v>0</v>
      </c>
      <c r="I27" s="11">
        <f>IF((24&lt;=plazo),J26,"")</f>
        <v>0</v>
      </c>
      <c r="J27" s="11">
        <f>IF((24&lt;=plazo),I27+G27-E27,"")</f>
        <v>0</v>
      </c>
      <c r="K27" s="11">
        <f>IF((24&lt;=plazo),J27-cajamin,"")</f>
        <v>0</v>
      </c>
      <c r="L27" s="18">
        <f>IF((24&lt;=plazo),covenant,"")</f>
        <v>0</v>
      </c>
      <c r="M27" s="11">
        <f>IF((24&lt;=plazo),cajamin,"")</f>
        <v>0</v>
      </c>
    </row>
    <row r="28" spans="1:13">
      <c r="A28" s="11">
        <f>IF(25&lt;=plazo,25,"")</f>
        <v>0</v>
      </c>
      <c r="B28" s="11">
        <f>IF((25&lt;=plazo),F27,"")</f>
        <v>0</v>
      </c>
      <c r="C28" s="11">
        <f>IF((25&lt;=plazo),B28*tasa/100/m,"")</f>
        <v>0</v>
      </c>
      <c r="D28" s="11">
        <f>IF((25&lt;=plazo),IF(25&lt;=gracia,0,IF(metodo="frances",MIN(B28,IF(tasa&gt;0,monto*(tasa/100/m)/(1-(1+tasa/100/m)^-MAX(plazo-gracia,1)),monto/MAX(plazo-gracia,1))-C28),IF(metodo="aleman",MIN(B28,monto/MAX(plazo-gracia,1)),IF(25=plazo,B28,0)))),"")</f>
        <v>0</v>
      </c>
      <c r="E28" s="11">
        <f>IF((25&lt;=plazo),C28+D28,"")</f>
        <v>0</v>
      </c>
      <c r="F28" s="11">
        <f>IF((25&lt;=plazo),B28-D28,"")</f>
        <v>0</v>
      </c>
      <c r="G28" s="11">
        <f>IF((25&lt;=plazo),cfads0*(1+crec/100)^24,"")</f>
        <v>0</v>
      </c>
      <c r="H28" s="18">
        <f>IF((25&lt;=plazo),IF(E28=0,"No calculable",G28/E28),"")</f>
        <v>0</v>
      </c>
      <c r="I28" s="11">
        <f>IF((25&lt;=plazo),J27,"")</f>
        <v>0</v>
      </c>
      <c r="J28" s="11">
        <f>IF((25&lt;=plazo),I28+G28-E28,"")</f>
        <v>0</v>
      </c>
      <c r="K28" s="11">
        <f>IF((25&lt;=plazo),J28-cajamin,"")</f>
        <v>0</v>
      </c>
      <c r="L28" s="18">
        <f>IF((25&lt;=plazo),covenant,"")</f>
        <v>0</v>
      </c>
      <c r="M28" s="11">
        <f>IF((25&lt;=plazo),cajamin,"")</f>
        <v>0</v>
      </c>
    </row>
    <row r="29" spans="1:13">
      <c r="A29" s="11">
        <f>IF(26&lt;=plazo,26,"")</f>
        <v>0</v>
      </c>
      <c r="B29" s="11">
        <f>IF((26&lt;=plazo),F28,"")</f>
        <v>0</v>
      </c>
      <c r="C29" s="11">
        <f>IF((26&lt;=plazo),B29*tasa/100/m,"")</f>
        <v>0</v>
      </c>
      <c r="D29" s="11">
        <f>IF((26&lt;=plazo),IF(26&lt;=gracia,0,IF(metodo="frances",MIN(B29,IF(tasa&gt;0,monto*(tasa/100/m)/(1-(1+tasa/100/m)^-MAX(plazo-gracia,1)),monto/MAX(plazo-gracia,1))-C29),IF(metodo="aleman",MIN(B29,monto/MAX(plazo-gracia,1)),IF(26=plazo,B29,0)))),"")</f>
        <v>0</v>
      </c>
      <c r="E29" s="11">
        <f>IF((26&lt;=plazo),C29+D29,"")</f>
        <v>0</v>
      </c>
      <c r="F29" s="11">
        <f>IF((26&lt;=plazo),B29-D29,"")</f>
        <v>0</v>
      </c>
      <c r="G29" s="11">
        <f>IF((26&lt;=plazo),cfads0*(1+crec/100)^25,"")</f>
        <v>0</v>
      </c>
      <c r="H29" s="18">
        <f>IF((26&lt;=plazo),IF(E29=0,"No calculable",G29/E29),"")</f>
        <v>0</v>
      </c>
      <c r="I29" s="11">
        <f>IF((26&lt;=plazo),J28,"")</f>
        <v>0</v>
      </c>
      <c r="J29" s="11">
        <f>IF((26&lt;=plazo),I29+G29-E29,"")</f>
        <v>0</v>
      </c>
      <c r="K29" s="11">
        <f>IF((26&lt;=plazo),J29-cajamin,"")</f>
        <v>0</v>
      </c>
      <c r="L29" s="18">
        <f>IF((26&lt;=plazo),covenant,"")</f>
        <v>0</v>
      </c>
      <c r="M29" s="11">
        <f>IF((26&lt;=plazo),cajamin,"")</f>
        <v>0</v>
      </c>
    </row>
    <row r="30" spans="1:13">
      <c r="A30" s="11">
        <f>IF(27&lt;=plazo,27,"")</f>
        <v>0</v>
      </c>
      <c r="B30" s="11">
        <f>IF((27&lt;=plazo),F29,"")</f>
        <v>0</v>
      </c>
      <c r="C30" s="11">
        <f>IF((27&lt;=plazo),B30*tasa/100/m,"")</f>
        <v>0</v>
      </c>
      <c r="D30" s="11">
        <f>IF((27&lt;=plazo),IF(27&lt;=gracia,0,IF(metodo="frances",MIN(B30,IF(tasa&gt;0,monto*(tasa/100/m)/(1-(1+tasa/100/m)^-MAX(plazo-gracia,1)),monto/MAX(plazo-gracia,1))-C30),IF(metodo="aleman",MIN(B30,monto/MAX(plazo-gracia,1)),IF(27=plazo,B30,0)))),"")</f>
        <v>0</v>
      </c>
      <c r="E30" s="11">
        <f>IF((27&lt;=plazo),C30+D30,"")</f>
        <v>0</v>
      </c>
      <c r="F30" s="11">
        <f>IF((27&lt;=plazo),B30-D30,"")</f>
        <v>0</v>
      </c>
      <c r="G30" s="11">
        <f>IF((27&lt;=plazo),cfads0*(1+crec/100)^26,"")</f>
        <v>0</v>
      </c>
      <c r="H30" s="18">
        <f>IF((27&lt;=plazo),IF(E30=0,"No calculable",G30/E30),"")</f>
        <v>0</v>
      </c>
      <c r="I30" s="11">
        <f>IF((27&lt;=plazo),J29,"")</f>
        <v>0</v>
      </c>
      <c r="J30" s="11">
        <f>IF((27&lt;=plazo),I30+G30-E30,"")</f>
        <v>0</v>
      </c>
      <c r="K30" s="11">
        <f>IF((27&lt;=plazo),J30-cajamin,"")</f>
        <v>0</v>
      </c>
      <c r="L30" s="18">
        <f>IF((27&lt;=plazo),covenant,"")</f>
        <v>0</v>
      </c>
      <c r="M30" s="11">
        <f>IF((27&lt;=plazo),cajamin,"")</f>
        <v>0</v>
      </c>
    </row>
    <row r="31" spans="1:13">
      <c r="A31" s="11">
        <f>IF(28&lt;=plazo,28,"")</f>
        <v>0</v>
      </c>
      <c r="B31" s="11">
        <f>IF((28&lt;=plazo),F30,"")</f>
        <v>0</v>
      </c>
      <c r="C31" s="11">
        <f>IF((28&lt;=plazo),B31*tasa/100/m,"")</f>
        <v>0</v>
      </c>
      <c r="D31" s="11">
        <f>IF((28&lt;=plazo),IF(28&lt;=gracia,0,IF(metodo="frances",MIN(B31,IF(tasa&gt;0,monto*(tasa/100/m)/(1-(1+tasa/100/m)^-MAX(plazo-gracia,1)),monto/MAX(plazo-gracia,1))-C31),IF(metodo="aleman",MIN(B31,monto/MAX(plazo-gracia,1)),IF(28=plazo,B31,0)))),"")</f>
        <v>0</v>
      </c>
      <c r="E31" s="11">
        <f>IF((28&lt;=plazo),C31+D31,"")</f>
        <v>0</v>
      </c>
      <c r="F31" s="11">
        <f>IF((28&lt;=plazo),B31-D31,"")</f>
        <v>0</v>
      </c>
      <c r="G31" s="11">
        <f>IF((28&lt;=plazo),cfads0*(1+crec/100)^27,"")</f>
        <v>0</v>
      </c>
      <c r="H31" s="18">
        <f>IF((28&lt;=plazo),IF(E31=0,"No calculable",G31/E31),"")</f>
        <v>0</v>
      </c>
      <c r="I31" s="11">
        <f>IF((28&lt;=plazo),J30,"")</f>
        <v>0</v>
      </c>
      <c r="J31" s="11">
        <f>IF((28&lt;=plazo),I31+G31-E31,"")</f>
        <v>0</v>
      </c>
      <c r="K31" s="11">
        <f>IF((28&lt;=plazo),J31-cajamin,"")</f>
        <v>0</v>
      </c>
      <c r="L31" s="18">
        <f>IF((28&lt;=plazo),covenant,"")</f>
        <v>0</v>
      </c>
      <c r="M31" s="11">
        <f>IF((28&lt;=plazo),cajamin,"")</f>
        <v>0</v>
      </c>
    </row>
    <row r="32" spans="1:13">
      <c r="A32" s="11">
        <f>IF(29&lt;=plazo,29,"")</f>
        <v>0</v>
      </c>
      <c r="B32" s="11">
        <f>IF((29&lt;=plazo),F31,"")</f>
        <v>0</v>
      </c>
      <c r="C32" s="11">
        <f>IF((29&lt;=plazo),B32*tasa/100/m,"")</f>
        <v>0</v>
      </c>
      <c r="D32" s="11">
        <f>IF((29&lt;=plazo),IF(29&lt;=gracia,0,IF(metodo="frances",MIN(B32,IF(tasa&gt;0,monto*(tasa/100/m)/(1-(1+tasa/100/m)^-MAX(plazo-gracia,1)),monto/MAX(plazo-gracia,1))-C32),IF(metodo="aleman",MIN(B32,monto/MAX(plazo-gracia,1)),IF(29=plazo,B32,0)))),"")</f>
        <v>0</v>
      </c>
      <c r="E32" s="11">
        <f>IF((29&lt;=plazo),C32+D32,"")</f>
        <v>0</v>
      </c>
      <c r="F32" s="11">
        <f>IF((29&lt;=plazo),B32-D32,"")</f>
        <v>0</v>
      </c>
      <c r="G32" s="11">
        <f>IF((29&lt;=plazo),cfads0*(1+crec/100)^28,"")</f>
        <v>0</v>
      </c>
      <c r="H32" s="18">
        <f>IF((29&lt;=plazo),IF(E32=0,"No calculable",G32/E32),"")</f>
        <v>0</v>
      </c>
      <c r="I32" s="11">
        <f>IF((29&lt;=plazo),J31,"")</f>
        <v>0</v>
      </c>
      <c r="J32" s="11">
        <f>IF((29&lt;=plazo),I32+G32-E32,"")</f>
        <v>0</v>
      </c>
      <c r="K32" s="11">
        <f>IF((29&lt;=plazo),J32-cajamin,"")</f>
        <v>0</v>
      </c>
      <c r="L32" s="18">
        <f>IF((29&lt;=plazo),covenant,"")</f>
        <v>0</v>
      </c>
      <c r="M32" s="11">
        <f>IF((29&lt;=plazo),cajamin,"")</f>
        <v>0</v>
      </c>
    </row>
    <row r="33" spans="1:13">
      <c r="A33" s="11">
        <f>IF(30&lt;=plazo,30,"")</f>
        <v>0</v>
      </c>
      <c r="B33" s="11">
        <f>IF((30&lt;=plazo),F32,"")</f>
        <v>0</v>
      </c>
      <c r="C33" s="11">
        <f>IF((30&lt;=plazo),B33*tasa/100/m,"")</f>
        <v>0</v>
      </c>
      <c r="D33" s="11">
        <f>IF((30&lt;=plazo),IF(30&lt;=gracia,0,IF(metodo="frances",MIN(B33,IF(tasa&gt;0,monto*(tasa/100/m)/(1-(1+tasa/100/m)^-MAX(plazo-gracia,1)),monto/MAX(plazo-gracia,1))-C33),IF(metodo="aleman",MIN(B33,monto/MAX(plazo-gracia,1)),IF(30=plazo,B33,0)))),"")</f>
        <v>0</v>
      </c>
      <c r="E33" s="11">
        <f>IF((30&lt;=plazo),C33+D33,"")</f>
        <v>0</v>
      </c>
      <c r="F33" s="11">
        <f>IF((30&lt;=plazo),B33-D33,"")</f>
        <v>0</v>
      </c>
      <c r="G33" s="11">
        <f>IF((30&lt;=plazo),cfads0*(1+crec/100)^29,"")</f>
        <v>0</v>
      </c>
      <c r="H33" s="18">
        <f>IF((30&lt;=plazo),IF(E33=0,"No calculable",G33/E33),"")</f>
        <v>0</v>
      </c>
      <c r="I33" s="11">
        <f>IF((30&lt;=plazo),J32,"")</f>
        <v>0</v>
      </c>
      <c r="J33" s="11">
        <f>IF((30&lt;=plazo),I33+G33-E33,"")</f>
        <v>0</v>
      </c>
      <c r="K33" s="11">
        <f>IF((30&lt;=plazo),J33-cajamin,"")</f>
        <v>0</v>
      </c>
      <c r="L33" s="18">
        <f>IF((30&lt;=plazo),covenant,"")</f>
        <v>0</v>
      </c>
      <c r="M33" s="11">
        <f>IF((30&lt;=plazo),cajamin,"")</f>
        <v>0</v>
      </c>
    </row>
    <row r="34" spans="1:13">
      <c r="A34" s="11">
        <f>IF(31&lt;=plazo,31,"")</f>
        <v>0</v>
      </c>
      <c r="B34" s="11">
        <f>IF((31&lt;=plazo),F33,"")</f>
        <v>0</v>
      </c>
      <c r="C34" s="11">
        <f>IF((31&lt;=plazo),B34*tasa/100/m,"")</f>
        <v>0</v>
      </c>
      <c r="D34" s="11">
        <f>IF((31&lt;=plazo),IF(31&lt;=gracia,0,IF(metodo="frances",MIN(B34,IF(tasa&gt;0,monto*(tasa/100/m)/(1-(1+tasa/100/m)^-MAX(plazo-gracia,1)),monto/MAX(plazo-gracia,1))-C34),IF(metodo="aleman",MIN(B34,monto/MAX(plazo-gracia,1)),IF(31=plazo,B34,0)))),"")</f>
        <v>0</v>
      </c>
      <c r="E34" s="11">
        <f>IF((31&lt;=plazo),C34+D34,"")</f>
        <v>0</v>
      </c>
      <c r="F34" s="11">
        <f>IF((31&lt;=plazo),B34-D34,"")</f>
        <v>0</v>
      </c>
      <c r="G34" s="11">
        <f>IF((31&lt;=plazo),cfads0*(1+crec/100)^30,"")</f>
        <v>0</v>
      </c>
      <c r="H34" s="18">
        <f>IF((31&lt;=plazo),IF(E34=0,"No calculable",G34/E34),"")</f>
        <v>0</v>
      </c>
      <c r="I34" s="11">
        <f>IF((31&lt;=plazo),J33,"")</f>
        <v>0</v>
      </c>
      <c r="J34" s="11">
        <f>IF((31&lt;=plazo),I34+G34-E34,"")</f>
        <v>0</v>
      </c>
      <c r="K34" s="11">
        <f>IF((31&lt;=plazo),J34-cajamin,"")</f>
        <v>0</v>
      </c>
      <c r="L34" s="18">
        <f>IF((31&lt;=plazo),covenant,"")</f>
        <v>0</v>
      </c>
      <c r="M34" s="11">
        <f>IF((31&lt;=plazo),cajamin,"")</f>
        <v>0</v>
      </c>
    </row>
    <row r="35" spans="1:13">
      <c r="A35" s="11">
        <f>IF(32&lt;=plazo,32,"")</f>
        <v>0</v>
      </c>
      <c r="B35" s="11">
        <f>IF((32&lt;=plazo),F34,"")</f>
        <v>0</v>
      </c>
      <c r="C35" s="11">
        <f>IF((32&lt;=plazo),B35*tasa/100/m,"")</f>
        <v>0</v>
      </c>
      <c r="D35" s="11">
        <f>IF((32&lt;=plazo),IF(32&lt;=gracia,0,IF(metodo="frances",MIN(B35,IF(tasa&gt;0,monto*(tasa/100/m)/(1-(1+tasa/100/m)^-MAX(plazo-gracia,1)),monto/MAX(plazo-gracia,1))-C35),IF(metodo="aleman",MIN(B35,monto/MAX(plazo-gracia,1)),IF(32=plazo,B35,0)))),"")</f>
        <v>0</v>
      </c>
      <c r="E35" s="11">
        <f>IF((32&lt;=plazo),C35+D35,"")</f>
        <v>0</v>
      </c>
      <c r="F35" s="11">
        <f>IF((32&lt;=plazo),B35-D35,"")</f>
        <v>0</v>
      </c>
      <c r="G35" s="11">
        <f>IF((32&lt;=plazo),cfads0*(1+crec/100)^31,"")</f>
        <v>0</v>
      </c>
      <c r="H35" s="18">
        <f>IF((32&lt;=plazo),IF(E35=0,"No calculable",G35/E35),"")</f>
        <v>0</v>
      </c>
      <c r="I35" s="11">
        <f>IF((32&lt;=plazo),J34,"")</f>
        <v>0</v>
      </c>
      <c r="J35" s="11">
        <f>IF((32&lt;=plazo),I35+G35-E35,"")</f>
        <v>0</v>
      </c>
      <c r="K35" s="11">
        <f>IF((32&lt;=plazo),J35-cajamin,"")</f>
        <v>0</v>
      </c>
      <c r="L35" s="18">
        <f>IF((32&lt;=plazo),covenant,"")</f>
        <v>0</v>
      </c>
      <c r="M35" s="11">
        <f>IF((32&lt;=plazo),cajamin,"")</f>
        <v>0</v>
      </c>
    </row>
    <row r="36" spans="1:13">
      <c r="A36" s="11">
        <f>IF(33&lt;=plazo,33,"")</f>
        <v>0</v>
      </c>
      <c r="B36" s="11">
        <f>IF((33&lt;=plazo),F35,"")</f>
        <v>0</v>
      </c>
      <c r="C36" s="11">
        <f>IF((33&lt;=plazo),B36*tasa/100/m,"")</f>
        <v>0</v>
      </c>
      <c r="D36" s="11">
        <f>IF((33&lt;=plazo),IF(33&lt;=gracia,0,IF(metodo="frances",MIN(B36,IF(tasa&gt;0,monto*(tasa/100/m)/(1-(1+tasa/100/m)^-MAX(plazo-gracia,1)),monto/MAX(plazo-gracia,1))-C36),IF(metodo="aleman",MIN(B36,monto/MAX(plazo-gracia,1)),IF(33=plazo,B36,0)))),"")</f>
        <v>0</v>
      </c>
      <c r="E36" s="11">
        <f>IF((33&lt;=plazo),C36+D36,"")</f>
        <v>0</v>
      </c>
      <c r="F36" s="11">
        <f>IF((33&lt;=plazo),B36-D36,"")</f>
        <v>0</v>
      </c>
      <c r="G36" s="11">
        <f>IF((33&lt;=plazo),cfads0*(1+crec/100)^32,"")</f>
        <v>0</v>
      </c>
      <c r="H36" s="18">
        <f>IF((33&lt;=plazo),IF(E36=0,"No calculable",G36/E36),"")</f>
        <v>0</v>
      </c>
      <c r="I36" s="11">
        <f>IF((33&lt;=plazo),J35,"")</f>
        <v>0</v>
      </c>
      <c r="J36" s="11">
        <f>IF((33&lt;=plazo),I36+G36-E36,"")</f>
        <v>0</v>
      </c>
      <c r="K36" s="11">
        <f>IF((33&lt;=plazo),J36-cajamin,"")</f>
        <v>0</v>
      </c>
      <c r="L36" s="18">
        <f>IF((33&lt;=plazo),covenant,"")</f>
        <v>0</v>
      </c>
      <c r="M36" s="11">
        <f>IF((33&lt;=plazo),cajamin,"")</f>
        <v>0</v>
      </c>
    </row>
    <row r="37" spans="1:13">
      <c r="A37" s="11">
        <f>IF(34&lt;=plazo,34,"")</f>
        <v>0</v>
      </c>
      <c r="B37" s="11">
        <f>IF((34&lt;=plazo),F36,"")</f>
        <v>0</v>
      </c>
      <c r="C37" s="11">
        <f>IF((34&lt;=plazo),B37*tasa/100/m,"")</f>
        <v>0</v>
      </c>
      <c r="D37" s="11">
        <f>IF((34&lt;=plazo),IF(34&lt;=gracia,0,IF(metodo="frances",MIN(B37,IF(tasa&gt;0,monto*(tasa/100/m)/(1-(1+tasa/100/m)^-MAX(plazo-gracia,1)),monto/MAX(plazo-gracia,1))-C37),IF(metodo="aleman",MIN(B37,monto/MAX(plazo-gracia,1)),IF(34=plazo,B37,0)))),"")</f>
        <v>0</v>
      </c>
      <c r="E37" s="11">
        <f>IF((34&lt;=plazo),C37+D37,"")</f>
        <v>0</v>
      </c>
      <c r="F37" s="11">
        <f>IF((34&lt;=plazo),B37-D37,"")</f>
        <v>0</v>
      </c>
      <c r="G37" s="11">
        <f>IF((34&lt;=plazo),cfads0*(1+crec/100)^33,"")</f>
        <v>0</v>
      </c>
      <c r="H37" s="18">
        <f>IF((34&lt;=plazo),IF(E37=0,"No calculable",G37/E37),"")</f>
        <v>0</v>
      </c>
      <c r="I37" s="11">
        <f>IF((34&lt;=plazo),J36,"")</f>
        <v>0</v>
      </c>
      <c r="J37" s="11">
        <f>IF((34&lt;=plazo),I37+G37-E37,"")</f>
        <v>0</v>
      </c>
      <c r="K37" s="11">
        <f>IF((34&lt;=plazo),J37-cajamin,"")</f>
        <v>0</v>
      </c>
      <c r="L37" s="18">
        <f>IF((34&lt;=plazo),covenant,"")</f>
        <v>0</v>
      </c>
      <c r="M37" s="11">
        <f>IF((34&lt;=plazo),cajamin,"")</f>
        <v>0</v>
      </c>
    </row>
    <row r="38" spans="1:13">
      <c r="A38" s="11">
        <f>IF(35&lt;=plazo,35,"")</f>
        <v>0</v>
      </c>
      <c r="B38" s="11">
        <f>IF((35&lt;=plazo),F37,"")</f>
        <v>0</v>
      </c>
      <c r="C38" s="11">
        <f>IF((35&lt;=plazo),B38*tasa/100/m,"")</f>
        <v>0</v>
      </c>
      <c r="D38" s="11">
        <f>IF((35&lt;=plazo),IF(35&lt;=gracia,0,IF(metodo="frances",MIN(B38,IF(tasa&gt;0,monto*(tasa/100/m)/(1-(1+tasa/100/m)^-MAX(plazo-gracia,1)),monto/MAX(plazo-gracia,1))-C38),IF(metodo="aleman",MIN(B38,monto/MAX(plazo-gracia,1)),IF(35=plazo,B38,0)))),"")</f>
        <v>0</v>
      </c>
      <c r="E38" s="11">
        <f>IF((35&lt;=plazo),C38+D38,"")</f>
        <v>0</v>
      </c>
      <c r="F38" s="11">
        <f>IF((35&lt;=plazo),B38-D38,"")</f>
        <v>0</v>
      </c>
      <c r="G38" s="11">
        <f>IF((35&lt;=plazo),cfads0*(1+crec/100)^34,"")</f>
        <v>0</v>
      </c>
      <c r="H38" s="18">
        <f>IF((35&lt;=plazo),IF(E38=0,"No calculable",G38/E38),"")</f>
        <v>0</v>
      </c>
      <c r="I38" s="11">
        <f>IF((35&lt;=plazo),J37,"")</f>
        <v>0</v>
      </c>
      <c r="J38" s="11">
        <f>IF((35&lt;=plazo),I38+G38-E38,"")</f>
        <v>0</v>
      </c>
      <c r="K38" s="11">
        <f>IF((35&lt;=plazo),J38-cajamin,"")</f>
        <v>0</v>
      </c>
      <c r="L38" s="18">
        <f>IF((35&lt;=plazo),covenant,"")</f>
        <v>0</v>
      </c>
      <c r="M38" s="11">
        <f>IF((35&lt;=plazo),cajamin,"")</f>
        <v>0</v>
      </c>
    </row>
    <row r="39" spans="1:13">
      <c r="A39" s="11">
        <f>IF(36&lt;=plazo,36,"")</f>
        <v>0</v>
      </c>
      <c r="B39" s="11">
        <f>IF((36&lt;=plazo),F38,"")</f>
        <v>0</v>
      </c>
      <c r="C39" s="11">
        <f>IF((36&lt;=plazo),B39*tasa/100/m,"")</f>
        <v>0</v>
      </c>
      <c r="D39" s="11">
        <f>IF((36&lt;=plazo),IF(36&lt;=gracia,0,IF(metodo="frances",MIN(B39,IF(tasa&gt;0,monto*(tasa/100/m)/(1-(1+tasa/100/m)^-MAX(plazo-gracia,1)),monto/MAX(plazo-gracia,1))-C39),IF(metodo="aleman",MIN(B39,monto/MAX(plazo-gracia,1)),IF(36=plazo,B39,0)))),"")</f>
        <v>0</v>
      </c>
      <c r="E39" s="11">
        <f>IF((36&lt;=plazo),C39+D39,"")</f>
        <v>0</v>
      </c>
      <c r="F39" s="11">
        <f>IF((36&lt;=plazo),B39-D39,"")</f>
        <v>0</v>
      </c>
      <c r="G39" s="11">
        <f>IF((36&lt;=plazo),cfads0*(1+crec/100)^35,"")</f>
        <v>0</v>
      </c>
      <c r="H39" s="18">
        <f>IF((36&lt;=plazo),IF(E39=0,"No calculable",G39/E39),"")</f>
        <v>0</v>
      </c>
      <c r="I39" s="11">
        <f>IF((36&lt;=plazo),J38,"")</f>
        <v>0</v>
      </c>
      <c r="J39" s="11">
        <f>IF((36&lt;=plazo),I39+G39-E39,"")</f>
        <v>0</v>
      </c>
      <c r="K39" s="11">
        <f>IF((36&lt;=plazo),J39-cajamin,"")</f>
        <v>0</v>
      </c>
      <c r="L39" s="18">
        <f>IF((36&lt;=plazo),covenant,"")</f>
        <v>0</v>
      </c>
      <c r="M39" s="11">
        <f>IF((36&lt;=plazo),cajamin,"")</f>
        <v>0</v>
      </c>
    </row>
    <row r="40" spans="1:13">
      <c r="A40" s="11">
        <f>IF(37&lt;=plazo,37,"")</f>
        <v>0</v>
      </c>
      <c r="B40" s="11">
        <f>IF((37&lt;=plazo),F39,"")</f>
        <v>0</v>
      </c>
      <c r="C40" s="11">
        <f>IF((37&lt;=plazo),B40*tasa/100/m,"")</f>
        <v>0</v>
      </c>
      <c r="D40" s="11">
        <f>IF((37&lt;=plazo),IF(37&lt;=gracia,0,IF(metodo="frances",MIN(B40,IF(tasa&gt;0,monto*(tasa/100/m)/(1-(1+tasa/100/m)^-MAX(plazo-gracia,1)),monto/MAX(plazo-gracia,1))-C40),IF(metodo="aleman",MIN(B40,monto/MAX(plazo-gracia,1)),IF(37=plazo,B40,0)))),"")</f>
        <v>0</v>
      </c>
      <c r="E40" s="11">
        <f>IF((37&lt;=plazo),C40+D40,"")</f>
        <v>0</v>
      </c>
      <c r="F40" s="11">
        <f>IF((37&lt;=plazo),B40-D40,"")</f>
        <v>0</v>
      </c>
      <c r="G40" s="11">
        <f>IF((37&lt;=plazo),cfads0*(1+crec/100)^36,"")</f>
        <v>0</v>
      </c>
      <c r="H40" s="18">
        <f>IF((37&lt;=plazo),IF(E40=0,"No calculable",G40/E40),"")</f>
        <v>0</v>
      </c>
      <c r="I40" s="11">
        <f>IF((37&lt;=plazo),J39,"")</f>
        <v>0</v>
      </c>
      <c r="J40" s="11">
        <f>IF((37&lt;=plazo),I40+G40-E40,"")</f>
        <v>0</v>
      </c>
      <c r="K40" s="11">
        <f>IF((37&lt;=plazo),J40-cajamin,"")</f>
        <v>0</v>
      </c>
      <c r="L40" s="18">
        <f>IF((37&lt;=plazo),covenant,"")</f>
        <v>0</v>
      </c>
      <c r="M40" s="11">
        <f>IF((37&lt;=plazo),cajamin,"")</f>
        <v>0</v>
      </c>
    </row>
    <row r="41" spans="1:13">
      <c r="A41" s="11">
        <f>IF(38&lt;=plazo,38,"")</f>
        <v>0</v>
      </c>
      <c r="B41" s="11">
        <f>IF((38&lt;=plazo),F40,"")</f>
        <v>0</v>
      </c>
      <c r="C41" s="11">
        <f>IF((38&lt;=plazo),B41*tasa/100/m,"")</f>
        <v>0</v>
      </c>
      <c r="D41" s="11">
        <f>IF((38&lt;=plazo),IF(38&lt;=gracia,0,IF(metodo="frances",MIN(B41,IF(tasa&gt;0,monto*(tasa/100/m)/(1-(1+tasa/100/m)^-MAX(plazo-gracia,1)),monto/MAX(plazo-gracia,1))-C41),IF(metodo="aleman",MIN(B41,monto/MAX(plazo-gracia,1)),IF(38=plazo,B41,0)))),"")</f>
        <v>0</v>
      </c>
      <c r="E41" s="11">
        <f>IF((38&lt;=plazo),C41+D41,"")</f>
        <v>0</v>
      </c>
      <c r="F41" s="11">
        <f>IF((38&lt;=plazo),B41-D41,"")</f>
        <v>0</v>
      </c>
      <c r="G41" s="11">
        <f>IF((38&lt;=plazo),cfads0*(1+crec/100)^37,"")</f>
        <v>0</v>
      </c>
      <c r="H41" s="18">
        <f>IF((38&lt;=plazo),IF(E41=0,"No calculable",G41/E41),"")</f>
        <v>0</v>
      </c>
      <c r="I41" s="11">
        <f>IF((38&lt;=plazo),J40,"")</f>
        <v>0</v>
      </c>
      <c r="J41" s="11">
        <f>IF((38&lt;=plazo),I41+G41-E41,"")</f>
        <v>0</v>
      </c>
      <c r="K41" s="11">
        <f>IF((38&lt;=plazo),J41-cajamin,"")</f>
        <v>0</v>
      </c>
      <c r="L41" s="18">
        <f>IF((38&lt;=plazo),covenant,"")</f>
        <v>0</v>
      </c>
      <c r="M41" s="11">
        <f>IF((38&lt;=plazo),cajamin,"")</f>
        <v>0</v>
      </c>
    </row>
    <row r="42" spans="1:13">
      <c r="A42" s="11">
        <f>IF(39&lt;=plazo,39,"")</f>
        <v>0</v>
      </c>
      <c r="B42" s="11">
        <f>IF((39&lt;=plazo),F41,"")</f>
        <v>0</v>
      </c>
      <c r="C42" s="11">
        <f>IF((39&lt;=plazo),B42*tasa/100/m,"")</f>
        <v>0</v>
      </c>
      <c r="D42" s="11">
        <f>IF((39&lt;=plazo),IF(39&lt;=gracia,0,IF(metodo="frances",MIN(B42,IF(tasa&gt;0,monto*(tasa/100/m)/(1-(1+tasa/100/m)^-MAX(plazo-gracia,1)),monto/MAX(plazo-gracia,1))-C42),IF(metodo="aleman",MIN(B42,monto/MAX(plazo-gracia,1)),IF(39=plazo,B42,0)))),"")</f>
        <v>0</v>
      </c>
      <c r="E42" s="11">
        <f>IF((39&lt;=plazo),C42+D42,"")</f>
        <v>0</v>
      </c>
      <c r="F42" s="11">
        <f>IF((39&lt;=plazo),B42-D42,"")</f>
        <v>0</v>
      </c>
      <c r="G42" s="11">
        <f>IF((39&lt;=plazo),cfads0*(1+crec/100)^38,"")</f>
        <v>0</v>
      </c>
      <c r="H42" s="18">
        <f>IF((39&lt;=plazo),IF(E42=0,"No calculable",G42/E42),"")</f>
        <v>0</v>
      </c>
      <c r="I42" s="11">
        <f>IF((39&lt;=plazo),J41,"")</f>
        <v>0</v>
      </c>
      <c r="J42" s="11">
        <f>IF((39&lt;=plazo),I42+G42-E42,"")</f>
        <v>0</v>
      </c>
      <c r="K42" s="11">
        <f>IF((39&lt;=plazo),J42-cajamin,"")</f>
        <v>0</v>
      </c>
      <c r="L42" s="18">
        <f>IF((39&lt;=plazo),covenant,"")</f>
        <v>0</v>
      </c>
      <c r="M42" s="11">
        <f>IF((39&lt;=plazo),cajamin,"")</f>
        <v>0</v>
      </c>
    </row>
    <row r="43" spans="1:13">
      <c r="A43" s="11">
        <f>IF(40&lt;=plazo,40,"")</f>
        <v>0</v>
      </c>
      <c r="B43" s="11">
        <f>IF((40&lt;=plazo),F42,"")</f>
        <v>0</v>
      </c>
      <c r="C43" s="11">
        <f>IF((40&lt;=plazo),B43*tasa/100/m,"")</f>
        <v>0</v>
      </c>
      <c r="D43" s="11">
        <f>IF((40&lt;=plazo),IF(40&lt;=gracia,0,IF(metodo="frances",MIN(B43,IF(tasa&gt;0,monto*(tasa/100/m)/(1-(1+tasa/100/m)^-MAX(plazo-gracia,1)),monto/MAX(plazo-gracia,1))-C43),IF(metodo="aleman",MIN(B43,monto/MAX(plazo-gracia,1)),IF(40=plazo,B43,0)))),"")</f>
        <v>0</v>
      </c>
      <c r="E43" s="11">
        <f>IF((40&lt;=plazo),C43+D43,"")</f>
        <v>0</v>
      </c>
      <c r="F43" s="11">
        <f>IF((40&lt;=plazo),B43-D43,"")</f>
        <v>0</v>
      </c>
      <c r="G43" s="11">
        <f>IF((40&lt;=plazo),cfads0*(1+crec/100)^39,"")</f>
        <v>0</v>
      </c>
      <c r="H43" s="18">
        <f>IF((40&lt;=plazo),IF(E43=0,"No calculable",G43/E43),"")</f>
        <v>0</v>
      </c>
      <c r="I43" s="11">
        <f>IF((40&lt;=plazo),J42,"")</f>
        <v>0</v>
      </c>
      <c r="J43" s="11">
        <f>IF((40&lt;=plazo),I43+G43-E43,"")</f>
        <v>0</v>
      </c>
      <c r="K43" s="11">
        <f>IF((40&lt;=plazo),J43-cajamin,"")</f>
        <v>0</v>
      </c>
      <c r="L43" s="18">
        <f>IF((40&lt;=plazo),covenant,"")</f>
        <v>0</v>
      </c>
      <c r="M43" s="11">
        <f>IF((40&lt;=plazo),cajamin,"")</f>
        <v>0</v>
      </c>
    </row>
    <row r="44" spans="1:13">
      <c r="A44" s="11">
        <f>IF(41&lt;=plazo,41,"")</f>
        <v>0</v>
      </c>
      <c r="B44" s="11">
        <f>IF((41&lt;=plazo),F43,"")</f>
        <v>0</v>
      </c>
      <c r="C44" s="11">
        <f>IF((41&lt;=plazo),B44*tasa/100/m,"")</f>
        <v>0</v>
      </c>
      <c r="D44" s="11">
        <f>IF((41&lt;=plazo),IF(41&lt;=gracia,0,IF(metodo="frances",MIN(B44,IF(tasa&gt;0,monto*(tasa/100/m)/(1-(1+tasa/100/m)^-MAX(plazo-gracia,1)),monto/MAX(plazo-gracia,1))-C44),IF(metodo="aleman",MIN(B44,monto/MAX(plazo-gracia,1)),IF(41=plazo,B44,0)))),"")</f>
        <v>0</v>
      </c>
      <c r="E44" s="11">
        <f>IF((41&lt;=plazo),C44+D44,"")</f>
        <v>0</v>
      </c>
      <c r="F44" s="11">
        <f>IF((41&lt;=plazo),B44-D44,"")</f>
        <v>0</v>
      </c>
      <c r="G44" s="11">
        <f>IF((41&lt;=plazo),cfads0*(1+crec/100)^40,"")</f>
        <v>0</v>
      </c>
      <c r="H44" s="18">
        <f>IF((41&lt;=plazo),IF(E44=0,"No calculable",G44/E44),"")</f>
        <v>0</v>
      </c>
      <c r="I44" s="11">
        <f>IF((41&lt;=plazo),J43,"")</f>
        <v>0</v>
      </c>
      <c r="J44" s="11">
        <f>IF((41&lt;=plazo),I44+G44-E44,"")</f>
        <v>0</v>
      </c>
      <c r="K44" s="11">
        <f>IF((41&lt;=plazo),J44-cajamin,"")</f>
        <v>0</v>
      </c>
      <c r="L44" s="18">
        <f>IF((41&lt;=plazo),covenant,"")</f>
        <v>0</v>
      </c>
      <c r="M44" s="11">
        <f>IF((41&lt;=plazo),cajamin,"")</f>
        <v>0</v>
      </c>
    </row>
    <row r="45" spans="1:13">
      <c r="A45" s="11">
        <f>IF(42&lt;=plazo,42,"")</f>
        <v>0</v>
      </c>
      <c r="B45" s="11">
        <f>IF((42&lt;=plazo),F44,"")</f>
        <v>0</v>
      </c>
      <c r="C45" s="11">
        <f>IF((42&lt;=plazo),B45*tasa/100/m,"")</f>
        <v>0</v>
      </c>
      <c r="D45" s="11">
        <f>IF((42&lt;=plazo),IF(42&lt;=gracia,0,IF(metodo="frances",MIN(B45,IF(tasa&gt;0,monto*(tasa/100/m)/(1-(1+tasa/100/m)^-MAX(plazo-gracia,1)),monto/MAX(plazo-gracia,1))-C45),IF(metodo="aleman",MIN(B45,monto/MAX(plazo-gracia,1)),IF(42=plazo,B45,0)))),"")</f>
        <v>0</v>
      </c>
      <c r="E45" s="11">
        <f>IF((42&lt;=plazo),C45+D45,"")</f>
        <v>0</v>
      </c>
      <c r="F45" s="11">
        <f>IF((42&lt;=plazo),B45-D45,"")</f>
        <v>0</v>
      </c>
      <c r="G45" s="11">
        <f>IF((42&lt;=plazo),cfads0*(1+crec/100)^41,"")</f>
        <v>0</v>
      </c>
      <c r="H45" s="18">
        <f>IF((42&lt;=plazo),IF(E45=0,"No calculable",G45/E45),"")</f>
        <v>0</v>
      </c>
      <c r="I45" s="11">
        <f>IF((42&lt;=plazo),J44,"")</f>
        <v>0</v>
      </c>
      <c r="J45" s="11">
        <f>IF((42&lt;=plazo),I45+G45-E45,"")</f>
        <v>0</v>
      </c>
      <c r="K45" s="11">
        <f>IF((42&lt;=plazo),J45-cajamin,"")</f>
        <v>0</v>
      </c>
      <c r="L45" s="18">
        <f>IF((42&lt;=plazo),covenant,"")</f>
        <v>0</v>
      </c>
      <c r="M45" s="11">
        <f>IF((42&lt;=plazo),cajamin,"")</f>
        <v>0</v>
      </c>
    </row>
    <row r="46" spans="1:13">
      <c r="A46" s="11">
        <f>IF(43&lt;=plazo,43,"")</f>
        <v>0</v>
      </c>
      <c r="B46" s="11">
        <f>IF((43&lt;=plazo),F45,"")</f>
        <v>0</v>
      </c>
      <c r="C46" s="11">
        <f>IF((43&lt;=plazo),B46*tasa/100/m,"")</f>
        <v>0</v>
      </c>
      <c r="D46" s="11">
        <f>IF((43&lt;=plazo),IF(43&lt;=gracia,0,IF(metodo="frances",MIN(B46,IF(tasa&gt;0,monto*(tasa/100/m)/(1-(1+tasa/100/m)^-MAX(plazo-gracia,1)),monto/MAX(plazo-gracia,1))-C46),IF(metodo="aleman",MIN(B46,monto/MAX(plazo-gracia,1)),IF(43=plazo,B46,0)))),"")</f>
        <v>0</v>
      </c>
      <c r="E46" s="11">
        <f>IF((43&lt;=plazo),C46+D46,"")</f>
        <v>0</v>
      </c>
      <c r="F46" s="11">
        <f>IF((43&lt;=plazo),B46-D46,"")</f>
        <v>0</v>
      </c>
      <c r="G46" s="11">
        <f>IF((43&lt;=plazo),cfads0*(1+crec/100)^42,"")</f>
        <v>0</v>
      </c>
      <c r="H46" s="18">
        <f>IF((43&lt;=plazo),IF(E46=0,"No calculable",G46/E46),"")</f>
        <v>0</v>
      </c>
      <c r="I46" s="11">
        <f>IF((43&lt;=plazo),J45,"")</f>
        <v>0</v>
      </c>
      <c r="J46" s="11">
        <f>IF((43&lt;=plazo),I46+G46-E46,"")</f>
        <v>0</v>
      </c>
      <c r="K46" s="11">
        <f>IF((43&lt;=plazo),J46-cajamin,"")</f>
        <v>0</v>
      </c>
      <c r="L46" s="18">
        <f>IF((43&lt;=plazo),covenant,"")</f>
        <v>0</v>
      </c>
      <c r="M46" s="11">
        <f>IF((43&lt;=plazo),cajamin,"")</f>
        <v>0</v>
      </c>
    </row>
    <row r="47" spans="1:13">
      <c r="A47" s="11">
        <f>IF(44&lt;=plazo,44,"")</f>
        <v>0</v>
      </c>
      <c r="B47" s="11">
        <f>IF((44&lt;=plazo),F46,"")</f>
        <v>0</v>
      </c>
      <c r="C47" s="11">
        <f>IF((44&lt;=plazo),B47*tasa/100/m,"")</f>
        <v>0</v>
      </c>
      <c r="D47" s="11">
        <f>IF((44&lt;=plazo),IF(44&lt;=gracia,0,IF(metodo="frances",MIN(B47,IF(tasa&gt;0,monto*(tasa/100/m)/(1-(1+tasa/100/m)^-MAX(plazo-gracia,1)),monto/MAX(plazo-gracia,1))-C47),IF(metodo="aleman",MIN(B47,monto/MAX(plazo-gracia,1)),IF(44=plazo,B47,0)))),"")</f>
        <v>0</v>
      </c>
      <c r="E47" s="11">
        <f>IF((44&lt;=plazo),C47+D47,"")</f>
        <v>0</v>
      </c>
      <c r="F47" s="11">
        <f>IF((44&lt;=plazo),B47-D47,"")</f>
        <v>0</v>
      </c>
      <c r="G47" s="11">
        <f>IF((44&lt;=plazo),cfads0*(1+crec/100)^43,"")</f>
        <v>0</v>
      </c>
      <c r="H47" s="18">
        <f>IF((44&lt;=plazo),IF(E47=0,"No calculable",G47/E47),"")</f>
        <v>0</v>
      </c>
      <c r="I47" s="11">
        <f>IF((44&lt;=plazo),J46,"")</f>
        <v>0</v>
      </c>
      <c r="J47" s="11">
        <f>IF((44&lt;=plazo),I47+G47-E47,"")</f>
        <v>0</v>
      </c>
      <c r="K47" s="11">
        <f>IF((44&lt;=plazo),J47-cajamin,"")</f>
        <v>0</v>
      </c>
      <c r="L47" s="18">
        <f>IF((44&lt;=plazo),covenant,"")</f>
        <v>0</v>
      </c>
      <c r="M47" s="11">
        <f>IF((44&lt;=plazo),cajamin,"")</f>
        <v>0</v>
      </c>
    </row>
    <row r="48" spans="1:13">
      <c r="A48" s="11">
        <f>IF(45&lt;=plazo,45,"")</f>
        <v>0</v>
      </c>
      <c r="B48" s="11">
        <f>IF((45&lt;=plazo),F47,"")</f>
        <v>0</v>
      </c>
      <c r="C48" s="11">
        <f>IF((45&lt;=plazo),B48*tasa/100/m,"")</f>
        <v>0</v>
      </c>
      <c r="D48" s="11">
        <f>IF((45&lt;=plazo),IF(45&lt;=gracia,0,IF(metodo="frances",MIN(B48,IF(tasa&gt;0,monto*(tasa/100/m)/(1-(1+tasa/100/m)^-MAX(plazo-gracia,1)),monto/MAX(plazo-gracia,1))-C48),IF(metodo="aleman",MIN(B48,monto/MAX(plazo-gracia,1)),IF(45=plazo,B48,0)))),"")</f>
        <v>0</v>
      </c>
      <c r="E48" s="11">
        <f>IF((45&lt;=plazo),C48+D48,"")</f>
        <v>0</v>
      </c>
      <c r="F48" s="11">
        <f>IF((45&lt;=plazo),B48-D48,"")</f>
        <v>0</v>
      </c>
      <c r="G48" s="11">
        <f>IF((45&lt;=plazo),cfads0*(1+crec/100)^44,"")</f>
        <v>0</v>
      </c>
      <c r="H48" s="18">
        <f>IF((45&lt;=plazo),IF(E48=0,"No calculable",G48/E48),"")</f>
        <v>0</v>
      </c>
      <c r="I48" s="11">
        <f>IF((45&lt;=plazo),J47,"")</f>
        <v>0</v>
      </c>
      <c r="J48" s="11">
        <f>IF((45&lt;=plazo),I48+G48-E48,"")</f>
        <v>0</v>
      </c>
      <c r="K48" s="11">
        <f>IF((45&lt;=plazo),J48-cajamin,"")</f>
        <v>0</v>
      </c>
      <c r="L48" s="18">
        <f>IF((45&lt;=plazo),covenant,"")</f>
        <v>0</v>
      </c>
      <c r="M48" s="11">
        <f>IF((45&lt;=plazo),cajamin,"")</f>
        <v>0</v>
      </c>
    </row>
    <row r="49" spans="1:13">
      <c r="A49" s="11">
        <f>IF(46&lt;=plazo,46,"")</f>
        <v>0</v>
      </c>
      <c r="B49" s="11">
        <f>IF((46&lt;=plazo),F48,"")</f>
        <v>0</v>
      </c>
      <c r="C49" s="11">
        <f>IF((46&lt;=plazo),B49*tasa/100/m,"")</f>
        <v>0</v>
      </c>
      <c r="D49" s="11">
        <f>IF((46&lt;=plazo),IF(46&lt;=gracia,0,IF(metodo="frances",MIN(B49,IF(tasa&gt;0,monto*(tasa/100/m)/(1-(1+tasa/100/m)^-MAX(plazo-gracia,1)),monto/MAX(plazo-gracia,1))-C49),IF(metodo="aleman",MIN(B49,monto/MAX(plazo-gracia,1)),IF(46=plazo,B49,0)))),"")</f>
        <v>0</v>
      </c>
      <c r="E49" s="11">
        <f>IF((46&lt;=plazo),C49+D49,"")</f>
        <v>0</v>
      </c>
      <c r="F49" s="11">
        <f>IF((46&lt;=plazo),B49-D49,"")</f>
        <v>0</v>
      </c>
      <c r="G49" s="11">
        <f>IF((46&lt;=plazo),cfads0*(1+crec/100)^45,"")</f>
        <v>0</v>
      </c>
      <c r="H49" s="18">
        <f>IF((46&lt;=plazo),IF(E49=0,"No calculable",G49/E49),"")</f>
        <v>0</v>
      </c>
      <c r="I49" s="11">
        <f>IF((46&lt;=plazo),J48,"")</f>
        <v>0</v>
      </c>
      <c r="J49" s="11">
        <f>IF((46&lt;=plazo),I49+G49-E49,"")</f>
        <v>0</v>
      </c>
      <c r="K49" s="11">
        <f>IF((46&lt;=plazo),J49-cajamin,"")</f>
        <v>0</v>
      </c>
      <c r="L49" s="18">
        <f>IF((46&lt;=plazo),covenant,"")</f>
        <v>0</v>
      </c>
      <c r="M49" s="11">
        <f>IF((46&lt;=plazo),cajamin,"")</f>
        <v>0</v>
      </c>
    </row>
    <row r="50" spans="1:13">
      <c r="A50" s="11">
        <f>IF(47&lt;=plazo,47,"")</f>
        <v>0</v>
      </c>
      <c r="B50" s="11">
        <f>IF((47&lt;=plazo),F49,"")</f>
        <v>0</v>
      </c>
      <c r="C50" s="11">
        <f>IF((47&lt;=plazo),B50*tasa/100/m,"")</f>
        <v>0</v>
      </c>
      <c r="D50" s="11">
        <f>IF((47&lt;=plazo),IF(47&lt;=gracia,0,IF(metodo="frances",MIN(B50,IF(tasa&gt;0,monto*(tasa/100/m)/(1-(1+tasa/100/m)^-MAX(plazo-gracia,1)),monto/MAX(plazo-gracia,1))-C50),IF(metodo="aleman",MIN(B50,monto/MAX(plazo-gracia,1)),IF(47=plazo,B50,0)))),"")</f>
        <v>0</v>
      </c>
      <c r="E50" s="11">
        <f>IF((47&lt;=plazo),C50+D50,"")</f>
        <v>0</v>
      </c>
      <c r="F50" s="11">
        <f>IF((47&lt;=plazo),B50-D50,"")</f>
        <v>0</v>
      </c>
      <c r="G50" s="11">
        <f>IF((47&lt;=plazo),cfads0*(1+crec/100)^46,"")</f>
        <v>0</v>
      </c>
      <c r="H50" s="18">
        <f>IF((47&lt;=plazo),IF(E50=0,"No calculable",G50/E50),"")</f>
        <v>0</v>
      </c>
      <c r="I50" s="11">
        <f>IF((47&lt;=plazo),J49,"")</f>
        <v>0</v>
      </c>
      <c r="J50" s="11">
        <f>IF((47&lt;=plazo),I50+G50-E50,"")</f>
        <v>0</v>
      </c>
      <c r="K50" s="11">
        <f>IF((47&lt;=plazo),J50-cajamin,"")</f>
        <v>0</v>
      </c>
      <c r="L50" s="18">
        <f>IF((47&lt;=plazo),covenant,"")</f>
        <v>0</v>
      </c>
      <c r="M50" s="11">
        <f>IF((47&lt;=plazo),cajamin,"")</f>
        <v>0</v>
      </c>
    </row>
    <row r="51" spans="1:13">
      <c r="A51" s="11">
        <f>IF(48&lt;=plazo,48,"")</f>
        <v>0</v>
      </c>
      <c r="B51" s="11">
        <f>IF((48&lt;=plazo),F50,"")</f>
        <v>0</v>
      </c>
      <c r="C51" s="11">
        <f>IF((48&lt;=plazo),B51*tasa/100/m,"")</f>
        <v>0</v>
      </c>
      <c r="D51" s="11">
        <f>IF((48&lt;=plazo),IF(48&lt;=gracia,0,IF(metodo="frances",MIN(B51,IF(tasa&gt;0,monto*(tasa/100/m)/(1-(1+tasa/100/m)^-MAX(plazo-gracia,1)),monto/MAX(plazo-gracia,1))-C51),IF(metodo="aleman",MIN(B51,monto/MAX(plazo-gracia,1)),IF(48=plazo,B51,0)))),"")</f>
        <v>0</v>
      </c>
      <c r="E51" s="11">
        <f>IF((48&lt;=plazo),C51+D51,"")</f>
        <v>0</v>
      </c>
      <c r="F51" s="11">
        <f>IF((48&lt;=plazo),B51-D51,"")</f>
        <v>0</v>
      </c>
      <c r="G51" s="11">
        <f>IF((48&lt;=plazo),cfads0*(1+crec/100)^47,"")</f>
        <v>0</v>
      </c>
      <c r="H51" s="18">
        <f>IF((48&lt;=plazo),IF(E51=0,"No calculable",G51/E51),"")</f>
        <v>0</v>
      </c>
      <c r="I51" s="11">
        <f>IF((48&lt;=plazo),J50,"")</f>
        <v>0</v>
      </c>
      <c r="J51" s="11">
        <f>IF((48&lt;=plazo),I51+G51-E51,"")</f>
        <v>0</v>
      </c>
      <c r="K51" s="11">
        <f>IF((48&lt;=plazo),J51-cajamin,"")</f>
        <v>0</v>
      </c>
      <c r="L51" s="18">
        <f>IF((48&lt;=plazo),covenant,"")</f>
        <v>0</v>
      </c>
      <c r="M51" s="11">
        <f>IF((48&lt;=plazo),cajamin,"")</f>
        <v>0</v>
      </c>
    </row>
    <row r="52" spans="1:13">
      <c r="A52" s="11">
        <f>IF(49&lt;=plazo,49,"")</f>
        <v>0</v>
      </c>
      <c r="B52" s="11">
        <f>IF((49&lt;=plazo),F51,"")</f>
        <v>0</v>
      </c>
      <c r="C52" s="11">
        <f>IF((49&lt;=plazo),B52*tasa/100/m,"")</f>
        <v>0</v>
      </c>
      <c r="D52" s="11">
        <f>IF((49&lt;=plazo),IF(49&lt;=gracia,0,IF(metodo="frances",MIN(B52,IF(tasa&gt;0,monto*(tasa/100/m)/(1-(1+tasa/100/m)^-MAX(plazo-gracia,1)),monto/MAX(plazo-gracia,1))-C52),IF(metodo="aleman",MIN(B52,monto/MAX(plazo-gracia,1)),IF(49=plazo,B52,0)))),"")</f>
        <v>0</v>
      </c>
      <c r="E52" s="11">
        <f>IF((49&lt;=plazo),C52+D52,"")</f>
        <v>0</v>
      </c>
      <c r="F52" s="11">
        <f>IF((49&lt;=plazo),B52-D52,"")</f>
        <v>0</v>
      </c>
      <c r="G52" s="11">
        <f>IF((49&lt;=plazo),cfads0*(1+crec/100)^48,"")</f>
        <v>0</v>
      </c>
      <c r="H52" s="18">
        <f>IF((49&lt;=plazo),IF(E52=0,"No calculable",G52/E52),"")</f>
        <v>0</v>
      </c>
      <c r="I52" s="11">
        <f>IF((49&lt;=plazo),J51,"")</f>
        <v>0</v>
      </c>
      <c r="J52" s="11">
        <f>IF((49&lt;=plazo),I52+G52-E52,"")</f>
        <v>0</v>
      </c>
      <c r="K52" s="11">
        <f>IF((49&lt;=plazo),J52-cajamin,"")</f>
        <v>0</v>
      </c>
      <c r="L52" s="18">
        <f>IF((49&lt;=plazo),covenant,"")</f>
        <v>0</v>
      </c>
      <c r="M52" s="11">
        <f>IF((49&lt;=plazo),cajamin,"")</f>
        <v>0</v>
      </c>
    </row>
    <row r="53" spans="1:13">
      <c r="A53" s="11">
        <f>IF(50&lt;=plazo,50,"")</f>
        <v>0</v>
      </c>
      <c r="B53" s="11">
        <f>IF((50&lt;=plazo),F52,"")</f>
        <v>0</v>
      </c>
      <c r="C53" s="11">
        <f>IF((50&lt;=plazo),B53*tasa/100/m,"")</f>
        <v>0</v>
      </c>
      <c r="D53" s="11">
        <f>IF((50&lt;=plazo),IF(50&lt;=gracia,0,IF(metodo="frances",MIN(B53,IF(tasa&gt;0,monto*(tasa/100/m)/(1-(1+tasa/100/m)^-MAX(plazo-gracia,1)),monto/MAX(plazo-gracia,1))-C53),IF(metodo="aleman",MIN(B53,monto/MAX(plazo-gracia,1)),IF(50=plazo,B53,0)))),"")</f>
        <v>0</v>
      </c>
      <c r="E53" s="11">
        <f>IF((50&lt;=plazo),C53+D53,"")</f>
        <v>0</v>
      </c>
      <c r="F53" s="11">
        <f>IF((50&lt;=plazo),B53-D53,"")</f>
        <v>0</v>
      </c>
      <c r="G53" s="11">
        <f>IF((50&lt;=plazo),cfads0*(1+crec/100)^49,"")</f>
        <v>0</v>
      </c>
      <c r="H53" s="18">
        <f>IF((50&lt;=plazo),IF(E53=0,"No calculable",G53/E53),"")</f>
        <v>0</v>
      </c>
      <c r="I53" s="11">
        <f>IF((50&lt;=plazo),J52,"")</f>
        <v>0</v>
      </c>
      <c r="J53" s="11">
        <f>IF((50&lt;=plazo),I53+G53-E53,"")</f>
        <v>0</v>
      </c>
      <c r="K53" s="11">
        <f>IF((50&lt;=plazo),J53-cajamin,"")</f>
        <v>0</v>
      </c>
      <c r="L53" s="18">
        <f>IF((50&lt;=plazo),covenant,"")</f>
        <v>0</v>
      </c>
      <c r="M53" s="11">
        <f>IF((50&lt;=plazo),cajamin,"")</f>
        <v>0</v>
      </c>
    </row>
    <row r="54" spans="1:13">
      <c r="A54" s="11">
        <f>IF(51&lt;=plazo,51,"")</f>
        <v>0</v>
      </c>
      <c r="B54" s="11">
        <f>IF((51&lt;=plazo),F53,"")</f>
        <v>0</v>
      </c>
      <c r="C54" s="11">
        <f>IF((51&lt;=plazo),B54*tasa/100/m,"")</f>
        <v>0</v>
      </c>
      <c r="D54" s="11">
        <f>IF((51&lt;=plazo),IF(51&lt;=gracia,0,IF(metodo="frances",MIN(B54,IF(tasa&gt;0,monto*(tasa/100/m)/(1-(1+tasa/100/m)^-MAX(plazo-gracia,1)),monto/MAX(plazo-gracia,1))-C54),IF(metodo="aleman",MIN(B54,monto/MAX(plazo-gracia,1)),IF(51=plazo,B54,0)))),"")</f>
        <v>0</v>
      </c>
      <c r="E54" s="11">
        <f>IF((51&lt;=plazo),C54+D54,"")</f>
        <v>0</v>
      </c>
      <c r="F54" s="11">
        <f>IF((51&lt;=plazo),B54-D54,"")</f>
        <v>0</v>
      </c>
      <c r="G54" s="11">
        <f>IF((51&lt;=plazo),cfads0*(1+crec/100)^50,"")</f>
        <v>0</v>
      </c>
      <c r="H54" s="18">
        <f>IF((51&lt;=plazo),IF(E54=0,"No calculable",G54/E54),"")</f>
        <v>0</v>
      </c>
      <c r="I54" s="11">
        <f>IF((51&lt;=plazo),J53,"")</f>
        <v>0</v>
      </c>
      <c r="J54" s="11">
        <f>IF((51&lt;=plazo),I54+G54-E54,"")</f>
        <v>0</v>
      </c>
      <c r="K54" s="11">
        <f>IF((51&lt;=plazo),J54-cajamin,"")</f>
        <v>0</v>
      </c>
      <c r="L54" s="18">
        <f>IF((51&lt;=plazo),covenant,"")</f>
        <v>0</v>
      </c>
      <c r="M54" s="11">
        <f>IF((51&lt;=plazo),cajamin,"")</f>
        <v>0</v>
      </c>
    </row>
    <row r="55" spans="1:13">
      <c r="A55" s="11">
        <f>IF(52&lt;=plazo,52,"")</f>
        <v>0</v>
      </c>
      <c r="B55" s="11">
        <f>IF((52&lt;=plazo),F54,"")</f>
        <v>0</v>
      </c>
      <c r="C55" s="11">
        <f>IF((52&lt;=plazo),B55*tasa/100/m,"")</f>
        <v>0</v>
      </c>
      <c r="D55" s="11">
        <f>IF((52&lt;=plazo),IF(52&lt;=gracia,0,IF(metodo="frances",MIN(B55,IF(tasa&gt;0,monto*(tasa/100/m)/(1-(1+tasa/100/m)^-MAX(plazo-gracia,1)),monto/MAX(plazo-gracia,1))-C55),IF(metodo="aleman",MIN(B55,monto/MAX(plazo-gracia,1)),IF(52=plazo,B55,0)))),"")</f>
        <v>0</v>
      </c>
      <c r="E55" s="11">
        <f>IF((52&lt;=plazo),C55+D55,"")</f>
        <v>0</v>
      </c>
      <c r="F55" s="11">
        <f>IF((52&lt;=plazo),B55-D55,"")</f>
        <v>0</v>
      </c>
      <c r="G55" s="11">
        <f>IF((52&lt;=plazo),cfads0*(1+crec/100)^51,"")</f>
        <v>0</v>
      </c>
      <c r="H55" s="18">
        <f>IF((52&lt;=plazo),IF(E55=0,"No calculable",G55/E55),"")</f>
        <v>0</v>
      </c>
      <c r="I55" s="11">
        <f>IF((52&lt;=plazo),J54,"")</f>
        <v>0</v>
      </c>
      <c r="J55" s="11">
        <f>IF((52&lt;=plazo),I55+G55-E55,"")</f>
        <v>0</v>
      </c>
      <c r="K55" s="11">
        <f>IF((52&lt;=plazo),J55-cajamin,"")</f>
        <v>0</v>
      </c>
      <c r="L55" s="18">
        <f>IF((52&lt;=plazo),covenant,"")</f>
        <v>0</v>
      </c>
      <c r="M55" s="11">
        <f>IF((52&lt;=plazo),cajamin,"")</f>
        <v>0</v>
      </c>
    </row>
    <row r="56" spans="1:13">
      <c r="A56" s="11">
        <f>IF(53&lt;=plazo,53,"")</f>
        <v>0</v>
      </c>
      <c r="B56" s="11">
        <f>IF((53&lt;=plazo),F55,"")</f>
        <v>0</v>
      </c>
      <c r="C56" s="11">
        <f>IF((53&lt;=plazo),B56*tasa/100/m,"")</f>
        <v>0</v>
      </c>
      <c r="D56" s="11">
        <f>IF((53&lt;=plazo),IF(53&lt;=gracia,0,IF(metodo="frances",MIN(B56,IF(tasa&gt;0,monto*(tasa/100/m)/(1-(1+tasa/100/m)^-MAX(plazo-gracia,1)),monto/MAX(plazo-gracia,1))-C56),IF(metodo="aleman",MIN(B56,monto/MAX(plazo-gracia,1)),IF(53=plazo,B56,0)))),"")</f>
        <v>0</v>
      </c>
      <c r="E56" s="11">
        <f>IF((53&lt;=plazo),C56+D56,"")</f>
        <v>0</v>
      </c>
      <c r="F56" s="11">
        <f>IF((53&lt;=plazo),B56-D56,"")</f>
        <v>0</v>
      </c>
      <c r="G56" s="11">
        <f>IF((53&lt;=plazo),cfads0*(1+crec/100)^52,"")</f>
        <v>0</v>
      </c>
      <c r="H56" s="18">
        <f>IF((53&lt;=plazo),IF(E56=0,"No calculable",G56/E56),"")</f>
        <v>0</v>
      </c>
      <c r="I56" s="11">
        <f>IF((53&lt;=plazo),J55,"")</f>
        <v>0</v>
      </c>
      <c r="J56" s="11">
        <f>IF((53&lt;=plazo),I56+G56-E56,"")</f>
        <v>0</v>
      </c>
      <c r="K56" s="11">
        <f>IF((53&lt;=plazo),J56-cajamin,"")</f>
        <v>0</v>
      </c>
      <c r="L56" s="18">
        <f>IF((53&lt;=plazo),covenant,"")</f>
        <v>0</v>
      </c>
      <c r="M56" s="11">
        <f>IF((53&lt;=plazo),cajamin,"")</f>
        <v>0</v>
      </c>
    </row>
    <row r="57" spans="1:13">
      <c r="A57" s="11">
        <f>IF(54&lt;=plazo,54,"")</f>
        <v>0</v>
      </c>
      <c r="B57" s="11">
        <f>IF((54&lt;=plazo),F56,"")</f>
        <v>0</v>
      </c>
      <c r="C57" s="11">
        <f>IF((54&lt;=plazo),B57*tasa/100/m,"")</f>
        <v>0</v>
      </c>
      <c r="D57" s="11">
        <f>IF((54&lt;=plazo),IF(54&lt;=gracia,0,IF(metodo="frances",MIN(B57,IF(tasa&gt;0,monto*(tasa/100/m)/(1-(1+tasa/100/m)^-MAX(plazo-gracia,1)),monto/MAX(plazo-gracia,1))-C57),IF(metodo="aleman",MIN(B57,monto/MAX(plazo-gracia,1)),IF(54=plazo,B57,0)))),"")</f>
        <v>0</v>
      </c>
      <c r="E57" s="11">
        <f>IF((54&lt;=plazo),C57+D57,"")</f>
        <v>0</v>
      </c>
      <c r="F57" s="11">
        <f>IF((54&lt;=plazo),B57-D57,"")</f>
        <v>0</v>
      </c>
      <c r="G57" s="11">
        <f>IF((54&lt;=plazo),cfads0*(1+crec/100)^53,"")</f>
        <v>0</v>
      </c>
      <c r="H57" s="18">
        <f>IF((54&lt;=plazo),IF(E57=0,"No calculable",G57/E57),"")</f>
        <v>0</v>
      </c>
      <c r="I57" s="11">
        <f>IF((54&lt;=plazo),J56,"")</f>
        <v>0</v>
      </c>
      <c r="J57" s="11">
        <f>IF((54&lt;=plazo),I57+G57-E57,"")</f>
        <v>0</v>
      </c>
      <c r="K57" s="11">
        <f>IF((54&lt;=plazo),J57-cajamin,"")</f>
        <v>0</v>
      </c>
      <c r="L57" s="18">
        <f>IF((54&lt;=plazo),covenant,"")</f>
        <v>0</v>
      </c>
      <c r="M57" s="11">
        <f>IF((54&lt;=plazo),cajamin,"")</f>
        <v>0</v>
      </c>
    </row>
    <row r="58" spans="1:13">
      <c r="A58" s="11">
        <f>IF(55&lt;=plazo,55,"")</f>
        <v>0</v>
      </c>
      <c r="B58" s="11">
        <f>IF((55&lt;=plazo),F57,"")</f>
        <v>0</v>
      </c>
      <c r="C58" s="11">
        <f>IF((55&lt;=plazo),B58*tasa/100/m,"")</f>
        <v>0</v>
      </c>
      <c r="D58" s="11">
        <f>IF((55&lt;=plazo),IF(55&lt;=gracia,0,IF(metodo="frances",MIN(B58,IF(tasa&gt;0,monto*(tasa/100/m)/(1-(1+tasa/100/m)^-MAX(plazo-gracia,1)),monto/MAX(plazo-gracia,1))-C58),IF(metodo="aleman",MIN(B58,monto/MAX(plazo-gracia,1)),IF(55=plazo,B58,0)))),"")</f>
        <v>0</v>
      </c>
      <c r="E58" s="11">
        <f>IF((55&lt;=plazo),C58+D58,"")</f>
        <v>0</v>
      </c>
      <c r="F58" s="11">
        <f>IF((55&lt;=plazo),B58-D58,"")</f>
        <v>0</v>
      </c>
      <c r="G58" s="11">
        <f>IF((55&lt;=plazo),cfads0*(1+crec/100)^54,"")</f>
        <v>0</v>
      </c>
      <c r="H58" s="18">
        <f>IF((55&lt;=plazo),IF(E58=0,"No calculable",G58/E58),"")</f>
        <v>0</v>
      </c>
      <c r="I58" s="11">
        <f>IF((55&lt;=plazo),J57,"")</f>
        <v>0</v>
      </c>
      <c r="J58" s="11">
        <f>IF((55&lt;=plazo),I58+G58-E58,"")</f>
        <v>0</v>
      </c>
      <c r="K58" s="11">
        <f>IF((55&lt;=plazo),J58-cajamin,"")</f>
        <v>0</v>
      </c>
      <c r="L58" s="18">
        <f>IF((55&lt;=plazo),covenant,"")</f>
        <v>0</v>
      </c>
      <c r="M58" s="11">
        <f>IF((55&lt;=plazo),cajamin,"")</f>
        <v>0</v>
      </c>
    </row>
    <row r="59" spans="1:13">
      <c r="A59" s="11">
        <f>IF(56&lt;=plazo,56,"")</f>
        <v>0</v>
      </c>
      <c r="B59" s="11">
        <f>IF((56&lt;=plazo),F58,"")</f>
        <v>0</v>
      </c>
      <c r="C59" s="11">
        <f>IF((56&lt;=plazo),B59*tasa/100/m,"")</f>
        <v>0</v>
      </c>
      <c r="D59" s="11">
        <f>IF((56&lt;=plazo),IF(56&lt;=gracia,0,IF(metodo="frances",MIN(B59,IF(tasa&gt;0,monto*(tasa/100/m)/(1-(1+tasa/100/m)^-MAX(plazo-gracia,1)),monto/MAX(plazo-gracia,1))-C59),IF(metodo="aleman",MIN(B59,monto/MAX(plazo-gracia,1)),IF(56=plazo,B59,0)))),"")</f>
        <v>0</v>
      </c>
      <c r="E59" s="11">
        <f>IF((56&lt;=plazo),C59+D59,"")</f>
        <v>0</v>
      </c>
      <c r="F59" s="11">
        <f>IF((56&lt;=plazo),B59-D59,"")</f>
        <v>0</v>
      </c>
      <c r="G59" s="11">
        <f>IF((56&lt;=plazo),cfads0*(1+crec/100)^55,"")</f>
        <v>0</v>
      </c>
      <c r="H59" s="18">
        <f>IF((56&lt;=plazo),IF(E59=0,"No calculable",G59/E59),"")</f>
        <v>0</v>
      </c>
      <c r="I59" s="11">
        <f>IF((56&lt;=plazo),J58,"")</f>
        <v>0</v>
      </c>
      <c r="J59" s="11">
        <f>IF((56&lt;=plazo),I59+G59-E59,"")</f>
        <v>0</v>
      </c>
      <c r="K59" s="11">
        <f>IF((56&lt;=plazo),J59-cajamin,"")</f>
        <v>0</v>
      </c>
      <c r="L59" s="18">
        <f>IF((56&lt;=plazo),covenant,"")</f>
        <v>0</v>
      </c>
      <c r="M59" s="11">
        <f>IF((56&lt;=plazo),cajamin,"")</f>
        <v>0</v>
      </c>
    </row>
    <row r="60" spans="1:13">
      <c r="A60" s="11">
        <f>IF(57&lt;=plazo,57,"")</f>
        <v>0</v>
      </c>
      <c r="B60" s="11">
        <f>IF((57&lt;=plazo),F59,"")</f>
        <v>0</v>
      </c>
      <c r="C60" s="11">
        <f>IF((57&lt;=plazo),B60*tasa/100/m,"")</f>
        <v>0</v>
      </c>
      <c r="D60" s="11">
        <f>IF((57&lt;=plazo),IF(57&lt;=gracia,0,IF(metodo="frances",MIN(B60,IF(tasa&gt;0,monto*(tasa/100/m)/(1-(1+tasa/100/m)^-MAX(plazo-gracia,1)),monto/MAX(plazo-gracia,1))-C60),IF(metodo="aleman",MIN(B60,monto/MAX(plazo-gracia,1)),IF(57=plazo,B60,0)))),"")</f>
        <v>0</v>
      </c>
      <c r="E60" s="11">
        <f>IF((57&lt;=plazo),C60+D60,"")</f>
        <v>0</v>
      </c>
      <c r="F60" s="11">
        <f>IF((57&lt;=plazo),B60-D60,"")</f>
        <v>0</v>
      </c>
      <c r="G60" s="11">
        <f>IF((57&lt;=plazo),cfads0*(1+crec/100)^56,"")</f>
        <v>0</v>
      </c>
      <c r="H60" s="18">
        <f>IF((57&lt;=plazo),IF(E60=0,"No calculable",G60/E60),"")</f>
        <v>0</v>
      </c>
      <c r="I60" s="11">
        <f>IF((57&lt;=plazo),J59,"")</f>
        <v>0</v>
      </c>
      <c r="J60" s="11">
        <f>IF((57&lt;=plazo),I60+G60-E60,"")</f>
        <v>0</v>
      </c>
      <c r="K60" s="11">
        <f>IF((57&lt;=plazo),J60-cajamin,"")</f>
        <v>0</v>
      </c>
      <c r="L60" s="18">
        <f>IF((57&lt;=plazo),covenant,"")</f>
        <v>0</v>
      </c>
      <c r="M60" s="11">
        <f>IF((57&lt;=plazo),cajamin,"")</f>
        <v>0</v>
      </c>
    </row>
    <row r="61" spans="1:13">
      <c r="A61" s="11">
        <f>IF(58&lt;=plazo,58,"")</f>
        <v>0</v>
      </c>
      <c r="B61" s="11">
        <f>IF((58&lt;=plazo),F60,"")</f>
        <v>0</v>
      </c>
      <c r="C61" s="11">
        <f>IF((58&lt;=plazo),B61*tasa/100/m,"")</f>
        <v>0</v>
      </c>
      <c r="D61" s="11">
        <f>IF((58&lt;=plazo),IF(58&lt;=gracia,0,IF(metodo="frances",MIN(B61,IF(tasa&gt;0,monto*(tasa/100/m)/(1-(1+tasa/100/m)^-MAX(plazo-gracia,1)),monto/MAX(plazo-gracia,1))-C61),IF(metodo="aleman",MIN(B61,monto/MAX(plazo-gracia,1)),IF(58=plazo,B61,0)))),"")</f>
        <v>0</v>
      </c>
      <c r="E61" s="11">
        <f>IF((58&lt;=plazo),C61+D61,"")</f>
        <v>0</v>
      </c>
      <c r="F61" s="11">
        <f>IF((58&lt;=plazo),B61-D61,"")</f>
        <v>0</v>
      </c>
      <c r="G61" s="11">
        <f>IF((58&lt;=plazo),cfads0*(1+crec/100)^57,"")</f>
        <v>0</v>
      </c>
      <c r="H61" s="18">
        <f>IF((58&lt;=plazo),IF(E61=0,"No calculable",G61/E61),"")</f>
        <v>0</v>
      </c>
      <c r="I61" s="11">
        <f>IF((58&lt;=plazo),J60,"")</f>
        <v>0</v>
      </c>
      <c r="J61" s="11">
        <f>IF((58&lt;=plazo),I61+G61-E61,"")</f>
        <v>0</v>
      </c>
      <c r="K61" s="11">
        <f>IF((58&lt;=plazo),J61-cajamin,"")</f>
        <v>0</v>
      </c>
      <c r="L61" s="18">
        <f>IF((58&lt;=plazo),covenant,"")</f>
        <v>0</v>
      </c>
      <c r="M61" s="11">
        <f>IF((58&lt;=plazo),cajamin,"")</f>
        <v>0</v>
      </c>
    </row>
    <row r="62" spans="1:13">
      <c r="A62" s="11">
        <f>IF(59&lt;=plazo,59,"")</f>
        <v>0</v>
      </c>
      <c r="B62" s="11">
        <f>IF((59&lt;=plazo),F61,"")</f>
        <v>0</v>
      </c>
      <c r="C62" s="11">
        <f>IF((59&lt;=plazo),B62*tasa/100/m,"")</f>
        <v>0</v>
      </c>
      <c r="D62" s="11">
        <f>IF((59&lt;=plazo),IF(59&lt;=gracia,0,IF(metodo="frances",MIN(B62,IF(tasa&gt;0,monto*(tasa/100/m)/(1-(1+tasa/100/m)^-MAX(plazo-gracia,1)),monto/MAX(plazo-gracia,1))-C62),IF(metodo="aleman",MIN(B62,monto/MAX(plazo-gracia,1)),IF(59=plazo,B62,0)))),"")</f>
        <v>0</v>
      </c>
      <c r="E62" s="11">
        <f>IF((59&lt;=plazo),C62+D62,"")</f>
        <v>0</v>
      </c>
      <c r="F62" s="11">
        <f>IF((59&lt;=plazo),B62-D62,"")</f>
        <v>0</v>
      </c>
      <c r="G62" s="11">
        <f>IF((59&lt;=plazo),cfads0*(1+crec/100)^58,"")</f>
        <v>0</v>
      </c>
      <c r="H62" s="18">
        <f>IF((59&lt;=plazo),IF(E62=0,"No calculable",G62/E62),"")</f>
        <v>0</v>
      </c>
      <c r="I62" s="11">
        <f>IF((59&lt;=plazo),J61,"")</f>
        <v>0</v>
      </c>
      <c r="J62" s="11">
        <f>IF((59&lt;=plazo),I62+G62-E62,"")</f>
        <v>0</v>
      </c>
      <c r="K62" s="11">
        <f>IF((59&lt;=plazo),J62-cajamin,"")</f>
        <v>0</v>
      </c>
      <c r="L62" s="18">
        <f>IF((59&lt;=plazo),covenant,"")</f>
        <v>0</v>
      </c>
      <c r="M62" s="11">
        <f>IF((59&lt;=plazo),cajamin,"")</f>
        <v>0</v>
      </c>
    </row>
    <row r="63" spans="1:13">
      <c r="A63" s="11">
        <f>IF(60&lt;=plazo,60,"")</f>
        <v>0</v>
      </c>
      <c r="B63" s="11">
        <f>IF((60&lt;=plazo),F62,"")</f>
        <v>0</v>
      </c>
      <c r="C63" s="11">
        <f>IF((60&lt;=plazo),B63*tasa/100/m,"")</f>
        <v>0</v>
      </c>
      <c r="D63" s="11">
        <f>IF((60&lt;=plazo),IF(60&lt;=gracia,0,IF(metodo="frances",MIN(B63,IF(tasa&gt;0,monto*(tasa/100/m)/(1-(1+tasa/100/m)^-MAX(plazo-gracia,1)),monto/MAX(plazo-gracia,1))-C63),IF(metodo="aleman",MIN(B63,monto/MAX(plazo-gracia,1)),IF(60=plazo,B63,0)))),"")</f>
        <v>0</v>
      </c>
      <c r="E63" s="11">
        <f>IF((60&lt;=plazo),C63+D63,"")</f>
        <v>0</v>
      </c>
      <c r="F63" s="11">
        <f>IF((60&lt;=plazo),B63-D63,"")</f>
        <v>0</v>
      </c>
      <c r="G63" s="11">
        <f>IF((60&lt;=plazo),cfads0*(1+crec/100)^59,"")</f>
        <v>0</v>
      </c>
      <c r="H63" s="18">
        <f>IF((60&lt;=plazo),IF(E63=0,"No calculable",G63/E63),"")</f>
        <v>0</v>
      </c>
      <c r="I63" s="11">
        <f>IF((60&lt;=plazo),J62,"")</f>
        <v>0</v>
      </c>
      <c r="J63" s="11">
        <f>IF((60&lt;=plazo),I63+G63-E63,"")</f>
        <v>0</v>
      </c>
      <c r="K63" s="11">
        <f>IF((60&lt;=plazo),J63-cajamin,"")</f>
        <v>0</v>
      </c>
      <c r="L63" s="18">
        <f>IF((60&lt;=plazo),covenant,"")</f>
        <v>0</v>
      </c>
      <c r="M63" s="11">
        <f>IF((60&lt;=plazo),cajamin,"")</f>
        <v>0</v>
      </c>
    </row>
    <row r="65" spans="1:1">
      <c r="A65" s="16" t="s">
        <v>46</v>
      </c>
    </row>
  </sheetData>
  <conditionalFormatting sqref="E4:E63">
    <cfRule type="dataBar" priority="3">
      <dataBar>
        <cfvo type="min" val="0"/>
        <cfvo type="max" val="0"/>
        <color rgb="FF4025CE"/>
      </dataBar>
    </cfRule>
  </conditionalFormatting>
  <conditionalFormatting sqref="G4:G63">
    <cfRule type="dataBar" priority="4">
      <dataBar>
        <cfvo type="min" val="0"/>
        <cfvo type="max" val="0"/>
        <color rgb="FF02E577"/>
      </dataBar>
    </cfRule>
  </conditionalFormatting>
  <conditionalFormatting sqref="H4:H63">
    <cfRule type="cellIs" dxfId="2" priority="1" operator="lessThan">
      <formula>covenant</formula>
    </cfRule>
  </conditionalFormatting>
  <conditionalFormatting sqref="K4:K63">
    <cfRule type="cellIs" dxfId="3" priority="2" operator="lessThan">
      <formula>0</formula>
    </cfRule>
  </conditionalFormatting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K25"/>
  <sheetViews>
    <sheetView showGridLines="0" workbookViewId="0"/>
  </sheetViews>
  <sheetFormatPr defaultRowHeight="15"/>
  <cols>
    <col min="1" max="1" width="22.7109375" customWidth="1"/>
    <col min="2" max="11" width="14.7109375" customWidth="1"/>
  </cols>
  <sheetData>
    <row r="1" spans="1:11">
      <c r="A1" s="1" t="s">
        <v>47</v>
      </c>
    </row>
    <row r="2" spans="1:11">
      <c r="A2" s="3" t="s">
        <v>48</v>
      </c>
    </row>
    <row r="3" spans="1:11">
      <c r="A3" s="17" t="s">
        <v>49</v>
      </c>
      <c r="B3" s="17" t="s">
        <v>50</v>
      </c>
      <c r="C3" s="17" t="s">
        <v>51</v>
      </c>
      <c r="D3" s="17" t="s">
        <v>40</v>
      </c>
      <c r="E3" s="17" t="s">
        <v>52</v>
      </c>
      <c r="F3" s="17" t="s">
        <v>44</v>
      </c>
      <c r="G3" s="17" t="s">
        <v>53</v>
      </c>
      <c r="H3" s="17" t="s">
        <v>54</v>
      </c>
      <c r="I3" s="17" t="s">
        <v>55</v>
      </c>
      <c r="J3" s="17" t="s">
        <v>56</v>
      </c>
      <c r="K3" s="17" t="s">
        <v>23</v>
      </c>
    </row>
    <row r="4" spans="1:11">
      <c r="A4" s="19" t="s">
        <v>57</v>
      </c>
      <c r="B4" s="11">
        <v>1000000</v>
      </c>
      <c r="C4" s="18">
        <v>12</v>
      </c>
      <c r="D4" s="11">
        <v>120000</v>
      </c>
      <c r="E4" s="18">
        <v>0</v>
      </c>
      <c r="F4" s="18">
        <v>1.2</v>
      </c>
      <c r="G4" s="11">
        <v>80000</v>
      </c>
    </row>
    <row r="5" spans="1:11">
      <c r="A5" s="20" t="s">
        <v>58</v>
      </c>
      <c r="B5" s="11">
        <v>1000000</v>
      </c>
      <c r="C5" s="18">
        <v>12</v>
      </c>
      <c r="D5" s="11">
        <v>102000</v>
      </c>
      <c r="E5" s="18">
        <v>0</v>
      </c>
      <c r="F5" s="18">
        <v>1.2</v>
      </c>
      <c r="G5" s="11">
        <v>80000</v>
      </c>
    </row>
    <row r="6" spans="1:11">
      <c r="A6" s="19" t="s">
        <v>59</v>
      </c>
      <c r="B6" s="11">
        <v>1000000</v>
      </c>
      <c r="C6" s="18">
        <v>16</v>
      </c>
      <c r="D6" s="11">
        <v>120000</v>
      </c>
      <c r="E6" s="18">
        <v>0</v>
      </c>
      <c r="F6" s="18">
        <v>1.2</v>
      </c>
      <c r="G6" s="11">
        <v>80000</v>
      </c>
    </row>
    <row r="7" spans="1:11">
      <c r="A7" s="20" t="s">
        <v>60</v>
      </c>
      <c r="B7" s="11">
        <v>1000000</v>
      </c>
      <c r="C7" s="18">
        <v>12</v>
      </c>
      <c r="D7" s="11">
        <v>120000</v>
      </c>
      <c r="E7" s="18">
        <v>0</v>
      </c>
      <c r="F7" s="18">
        <v>1.35</v>
      </c>
      <c r="G7" s="11">
        <v>80000</v>
      </c>
    </row>
    <row r="8" spans="1:11">
      <c r="A8" s="19" t="s">
        <v>61</v>
      </c>
      <c r="B8" s="11">
        <v>1000000</v>
      </c>
      <c r="C8" s="18">
        <v>12</v>
      </c>
      <c r="D8" s="11">
        <v>120000</v>
      </c>
      <c r="E8" s="18">
        <v>0</v>
      </c>
      <c r="F8" s="18">
        <v>1.2</v>
      </c>
      <c r="G8" s="11">
        <v>120000</v>
      </c>
    </row>
    <row r="10" spans="1:11">
      <c r="A10" s="2" t="s">
        <v>62</v>
      </c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4" spans="1:11">
      <c r="A14" s="4" t="s">
        <v>63</v>
      </c>
    </row>
    <row r="15" spans="1:11">
      <c r="A15" s="17" t="s">
        <v>64</v>
      </c>
      <c r="B15" s="17" t="s">
        <v>65</v>
      </c>
      <c r="C15" s="17" t="s">
        <v>66</v>
      </c>
      <c r="D15" s="17" t="s">
        <v>67</v>
      </c>
      <c r="E15" s="17" t="s">
        <v>68</v>
      </c>
      <c r="F15" s="17" t="s">
        <v>69</v>
      </c>
    </row>
    <row r="25" spans="1:1">
      <c r="A25" s="16" t="s">
        <v>70</v>
      </c>
    </row>
  </sheetData>
  <mergeCells count="1">
    <mergeCell ref="A10:K11"/>
  </mergeCell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C15"/>
  <sheetViews>
    <sheetView showGridLines="0" workbookViewId="0"/>
  </sheetViews>
  <sheetFormatPr defaultRowHeight="15"/>
  <cols>
    <col min="1" max="1" width="6.7109375" customWidth="1"/>
    <col min="2" max="2" width="46.7109375" customWidth="1"/>
    <col min="3" max="3" width="14.7109375" customWidth="1"/>
  </cols>
  <sheetData>
    <row r="1" spans="1:3">
      <c r="A1" s="1" t="s">
        <v>71</v>
      </c>
    </row>
    <row r="2" spans="1:3">
      <c r="A2" s="3" t="s">
        <v>72</v>
      </c>
    </row>
    <row r="3" spans="1:3">
      <c r="A3" s="17" t="s">
        <v>73</v>
      </c>
      <c r="B3" s="17" t="s">
        <v>74</v>
      </c>
      <c r="C3" s="17" t="s">
        <v>75</v>
      </c>
    </row>
    <row r="4" spans="1:3">
      <c r="A4" s="11">
        <v>1</v>
      </c>
      <c r="B4" s="19" t="s">
        <v>76</v>
      </c>
      <c r="C4" s="19" t="s">
        <v>77</v>
      </c>
    </row>
    <row r="5" spans="1:3">
      <c r="A5" s="11">
        <v>2</v>
      </c>
      <c r="B5" s="20" t="s">
        <v>78</v>
      </c>
      <c r="C5" s="20" t="s">
        <v>79</v>
      </c>
    </row>
    <row r="6" spans="1:3">
      <c r="A6" s="11">
        <v>3</v>
      </c>
      <c r="B6" s="19" t="s">
        <v>80</v>
      </c>
      <c r="C6" s="19" t="s">
        <v>79</v>
      </c>
    </row>
    <row r="7" spans="1:3">
      <c r="A7" s="11">
        <v>4</v>
      </c>
      <c r="B7" s="20" t="s">
        <v>81</v>
      </c>
      <c r="C7" s="20" t="s">
        <v>79</v>
      </c>
    </row>
    <row r="8" spans="1:3">
      <c r="A8" s="11">
        <v>5</v>
      </c>
      <c r="B8" s="19" t="s">
        <v>82</v>
      </c>
      <c r="C8" s="19" t="s">
        <v>79</v>
      </c>
    </row>
    <row r="9" spans="1:3">
      <c r="A9" s="11">
        <v>6</v>
      </c>
      <c r="B9" s="20" t="s">
        <v>83</v>
      </c>
      <c r="C9" s="20" t="s">
        <v>84</v>
      </c>
    </row>
    <row r="10" spans="1:3">
      <c r="A10" s="11">
        <v>7</v>
      </c>
      <c r="B10" s="19" t="s">
        <v>85</v>
      </c>
      <c r="C10" s="19" t="s">
        <v>79</v>
      </c>
    </row>
    <row r="11" spans="1:3">
      <c r="A11" s="11">
        <v>8</v>
      </c>
      <c r="B11" s="20" t="s">
        <v>86</v>
      </c>
      <c r="C11" s="20" t="s">
        <v>79</v>
      </c>
    </row>
    <row r="12" spans="1:3">
      <c r="A12" s="11">
        <v>9</v>
      </c>
      <c r="B12" s="19" t="s">
        <v>87</v>
      </c>
      <c r="C12" s="19" t="s">
        <v>79</v>
      </c>
    </row>
    <row r="13" spans="1:3">
      <c r="A13" s="11">
        <v>10</v>
      </c>
      <c r="B13" s="20" t="s">
        <v>88</v>
      </c>
      <c r="C13" s="20" t="s">
        <v>79</v>
      </c>
    </row>
    <row r="14" spans="1:3">
      <c r="A14" s="11">
        <v>11</v>
      </c>
      <c r="B14" s="19" t="s">
        <v>89</v>
      </c>
      <c r="C14" s="19" t="s">
        <v>79</v>
      </c>
    </row>
    <row r="15" spans="1:3">
      <c r="A15" s="11">
        <v>12</v>
      </c>
      <c r="B15" s="20" t="s">
        <v>90</v>
      </c>
      <c r="C15" s="20" t="s">
        <v>84</v>
      </c>
    </row>
  </sheetData>
  <dataValidations count="12">
    <dataValidation type="list" allowBlank="1" showInputMessage="1" showErrorMessage="1" sqref="C4">
      <formula1>"inicio,proceso,decision,fin"</formula1>
    </dataValidation>
    <dataValidation type="list" allowBlank="1" showInputMessage="1" showErrorMessage="1" sqref="C5">
      <formula1>"inicio,proceso,decision,fin"</formula1>
    </dataValidation>
    <dataValidation type="list" allowBlank="1" showInputMessage="1" showErrorMessage="1" sqref="C6">
      <formula1>"inicio,proceso,decision,fin"</formula1>
    </dataValidation>
    <dataValidation type="list" allowBlank="1" showInputMessage="1" showErrorMessage="1" sqref="C7">
      <formula1>"inicio,proceso,decision,fin"</formula1>
    </dataValidation>
    <dataValidation type="list" allowBlank="1" showInputMessage="1" showErrorMessage="1" sqref="C8">
      <formula1>"inicio,proceso,decision,fin"</formula1>
    </dataValidation>
    <dataValidation type="list" allowBlank="1" showInputMessage="1" showErrorMessage="1" sqref="C9">
      <formula1>"inicio,proceso,decision,fin"</formula1>
    </dataValidation>
    <dataValidation type="list" allowBlank="1" showInputMessage="1" showErrorMessage="1" sqref="C10">
      <formula1>"inicio,proceso,decision,fin"</formula1>
    </dataValidation>
    <dataValidation type="list" allowBlank="1" showInputMessage="1" showErrorMessage="1" sqref="C11">
      <formula1>"inicio,proceso,decision,fin"</formula1>
    </dataValidation>
    <dataValidation type="list" allowBlank="1" showInputMessage="1" showErrorMessage="1" sqref="C12">
      <formula1>"inicio,proceso,decision,fin"</formula1>
    </dataValidation>
    <dataValidation type="list" allowBlank="1" showInputMessage="1" showErrorMessage="1" sqref="C13">
      <formula1>"inicio,proceso,decision,fin"</formula1>
    </dataValidation>
    <dataValidation type="list" allowBlank="1" showInputMessage="1" showErrorMessage="1" sqref="C14">
      <formula1>"inicio,proceso,decision,fin"</formula1>
    </dataValidation>
    <dataValidation type="list" allowBlank="1" showInputMessage="1" showErrorMessage="1" sqref="C15">
      <formula1>"inicio,proceso,decision,fin"</formula1>
    </dataValidation>
  </dataValidation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I30"/>
  <sheetViews>
    <sheetView showGridLines="0" workbookViewId="0"/>
  </sheetViews>
  <sheetFormatPr defaultRowHeight="15"/>
  <cols>
    <col min="1" max="1" width="30.7109375" customWidth="1"/>
    <col min="2" max="2" width="13.7109375" customWidth="1"/>
    <col min="3" max="4" width="14.7109375" customWidth="1"/>
    <col min="5" max="5" width="18.7109375" customWidth="1"/>
    <col min="6" max="7" width="38.7109375" customWidth="1"/>
    <col min="8" max="9" width="16.7109375" customWidth="1"/>
  </cols>
  <sheetData>
    <row r="1" spans="1:9">
      <c r="A1" s="1" t="s">
        <v>63</v>
      </c>
    </row>
    <row r="2" spans="1:9">
      <c r="A2" s="3" t="s">
        <v>91</v>
      </c>
    </row>
    <row r="3" spans="1:9">
      <c r="A3" s="17" t="s">
        <v>64</v>
      </c>
      <c r="B3" s="17" t="s">
        <v>65</v>
      </c>
      <c r="C3" s="17" t="s">
        <v>66</v>
      </c>
      <c r="D3" s="17" t="s">
        <v>75</v>
      </c>
      <c r="E3" s="17" t="s">
        <v>34</v>
      </c>
      <c r="F3" s="17" t="s">
        <v>67</v>
      </c>
      <c r="G3" s="17" t="s">
        <v>69</v>
      </c>
      <c r="H3" s="17" t="s">
        <v>68</v>
      </c>
      <c r="I3" s="17" t="s">
        <v>92</v>
      </c>
    </row>
    <row r="30" spans="1:1">
      <c r="A30" s="16" t="s">
        <v>93</v>
      </c>
    </row>
  </sheetData>
  <conditionalFormatting sqref="F4:F27">
    <cfRule type="containsBlanks" dxfId="4" priority="1">
      <formula>LEN(TRIM(F4))=0</formula>
    </cfRule>
  </conditionalFormatting>
  <dataValidations count="24">
    <dataValidation type="list" allowBlank="1" showInputMessage="1" showErrorMessage="1" sqref="D4">
      <formula1>"Dato histórico,Presupuesto,Proyección"</formula1>
    </dataValidation>
    <dataValidation type="list" allowBlank="1" showInputMessage="1" showErrorMessage="1" sqref="D5">
      <formula1>"Dato histórico,Presupuesto,Proyección"</formula1>
    </dataValidation>
    <dataValidation type="list" allowBlank="1" showInputMessage="1" showErrorMessage="1" sqref="D6">
      <formula1>"Dato histórico,Presupuesto,Proyección"</formula1>
    </dataValidation>
    <dataValidation type="list" allowBlank="1" showInputMessage="1" showErrorMessage="1" sqref="D7">
      <formula1>"Dato histórico,Presupuesto,Proyección"</formula1>
    </dataValidation>
    <dataValidation type="list" allowBlank="1" showInputMessage="1" showErrorMessage="1" sqref="D8">
      <formula1>"Dato histórico,Presupuesto,Proyección"</formula1>
    </dataValidation>
    <dataValidation type="list" allowBlank="1" showInputMessage="1" showErrorMessage="1" sqref="D9">
      <formula1>"Dato histórico,Presupuesto,Proyección"</formula1>
    </dataValidation>
    <dataValidation type="list" allowBlank="1" showInputMessage="1" showErrorMessage="1" sqref="D10">
      <formula1>"Dato histórico,Presupuesto,Proyección"</formula1>
    </dataValidation>
    <dataValidation type="list" allowBlank="1" showInputMessage="1" showErrorMessage="1" sqref="D11">
      <formula1>"Dato histórico,Presupuesto,Proyección"</formula1>
    </dataValidation>
    <dataValidation type="list" allowBlank="1" showInputMessage="1" showErrorMessage="1" sqref="D12">
      <formula1>"Dato histórico,Presupuesto,Proyección"</formula1>
    </dataValidation>
    <dataValidation type="list" allowBlank="1" showInputMessage="1" showErrorMessage="1" sqref="D13">
      <formula1>"Dato histórico,Presupuesto,Proyección"</formula1>
    </dataValidation>
    <dataValidation type="list" allowBlank="1" showInputMessage="1" showErrorMessage="1" sqref="D14">
      <formula1>"Dato histórico,Presupuesto,Proyección"</formula1>
    </dataValidation>
    <dataValidation type="list" allowBlank="1" showInputMessage="1" showErrorMessage="1" sqref="D15">
      <formula1>"Dato histórico,Presupuesto,Proyección"</formula1>
    </dataValidation>
    <dataValidation type="list" allowBlank="1" showInputMessage="1" showErrorMessage="1" sqref="D16">
      <formula1>"Dato histórico,Presupuesto,Proyección"</formula1>
    </dataValidation>
    <dataValidation type="list" allowBlank="1" showInputMessage="1" showErrorMessage="1" sqref="D17">
      <formula1>"Dato histórico,Presupuesto,Proyección"</formula1>
    </dataValidation>
    <dataValidation type="list" allowBlank="1" showInputMessage="1" showErrorMessage="1" sqref="D18">
      <formula1>"Dato histórico,Presupuesto,Proyección"</formula1>
    </dataValidation>
    <dataValidation type="list" allowBlank="1" showInputMessage="1" showErrorMessage="1" sqref="D19">
      <formula1>"Dato histórico,Presupuesto,Proyección"</formula1>
    </dataValidation>
    <dataValidation type="list" allowBlank="1" showInputMessage="1" showErrorMessage="1" sqref="D20">
      <formula1>"Dato histórico,Presupuesto,Proyección"</formula1>
    </dataValidation>
    <dataValidation type="list" allowBlank="1" showInputMessage="1" showErrorMessage="1" sqref="D21">
      <formula1>"Dato histórico,Presupuesto,Proyección"</formula1>
    </dataValidation>
    <dataValidation type="list" allowBlank="1" showInputMessage="1" showErrorMessage="1" sqref="D22">
      <formula1>"Dato histórico,Presupuesto,Proyección"</formula1>
    </dataValidation>
    <dataValidation type="list" allowBlank="1" showInputMessage="1" showErrorMessage="1" sqref="D23">
      <formula1>"Dato histórico,Presupuesto,Proyección"</formula1>
    </dataValidation>
    <dataValidation type="list" allowBlank="1" showInputMessage="1" showErrorMessage="1" sqref="D24">
      <formula1>"Dato histórico,Presupuesto,Proyección"</formula1>
    </dataValidation>
    <dataValidation type="list" allowBlank="1" showInputMessage="1" showErrorMessage="1" sqref="D25">
      <formula1>"Dato histórico,Presupuesto,Proyección"</formula1>
    </dataValidation>
    <dataValidation type="list" allowBlank="1" showInputMessage="1" showErrorMessage="1" sqref="D26">
      <formula1>"Dato histórico,Presupuesto,Proyección"</formula1>
    </dataValidation>
    <dataValidation type="list" allowBlank="1" showInputMessage="1" showErrorMessage="1" sqref="D27">
      <formula1>"Dato histórico,Presupuesto,Proyección"</formula1>
    </dataValidation>
  </dataValidation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H18"/>
  <sheetViews>
    <sheetView showGridLines="0" workbookViewId="0"/>
  </sheetViews>
  <sheetFormatPr defaultRowHeight="15"/>
  <cols>
    <col min="1" max="1" width="26.7109375" customWidth="1"/>
    <col min="2" max="2" width="11.7109375" customWidth="1"/>
    <col min="3" max="3" width="16.7109375" customWidth="1"/>
    <col min="4" max="4" width="18.7109375" customWidth="1"/>
    <col min="5" max="6" width="34.7109375" customWidth="1"/>
    <col min="7" max="8" width="15.7109375" customWidth="1"/>
  </cols>
  <sheetData>
    <row r="1" spans="1:8">
      <c r="A1" s="1" t="s">
        <v>94</v>
      </c>
    </row>
    <row r="2" spans="1:8">
      <c r="A2" s="3" t="s">
        <v>95</v>
      </c>
    </row>
    <row r="3" spans="1:8">
      <c r="A3" s="17" t="s">
        <v>96</v>
      </c>
      <c r="B3" s="17" t="s">
        <v>97</v>
      </c>
      <c r="C3" s="17" t="s">
        <v>98</v>
      </c>
      <c r="D3" s="17" t="s">
        <v>99</v>
      </c>
      <c r="E3" s="17" t="s">
        <v>100</v>
      </c>
      <c r="F3" s="17" t="s">
        <v>101</v>
      </c>
      <c r="G3" s="17" t="s">
        <v>102</v>
      </c>
      <c r="H3" s="17" t="s">
        <v>103</v>
      </c>
    </row>
    <row r="4" spans="1:8">
      <c r="A4" s="19" t="s">
        <v>104</v>
      </c>
      <c r="B4" s="18">
        <f>covenant</f>
        <v>0</v>
      </c>
      <c r="C4" s="19" t="s">
        <v>105</v>
      </c>
    </row>
    <row r="17" spans="1:8">
      <c r="A17" s="2" t="s">
        <v>106</v>
      </c>
      <c r="B17" s="2"/>
      <c r="C17" s="2"/>
      <c r="D17" s="2"/>
      <c r="E17" s="2"/>
      <c r="F17" s="2"/>
      <c r="G17" s="2"/>
      <c r="H17" s="2"/>
    </row>
    <row r="18" spans="1:8">
      <c r="A18" s="2"/>
      <c r="B18" s="2"/>
      <c r="C18" s="2"/>
      <c r="D18" s="2"/>
      <c r="E18" s="2"/>
      <c r="F18" s="2"/>
      <c r="G18" s="2"/>
      <c r="H18" s="2"/>
    </row>
  </sheetData>
  <mergeCells count="1">
    <mergeCell ref="A17:H18"/>
  </mergeCells>
  <conditionalFormatting sqref="F4:F15">
    <cfRule type="containsBlanks" dxfId="4" priority="1">
      <formula>LEN(TRIM(F4))=0</formula>
    </cfRule>
  </conditionalFormatting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Panel</vt:lpstr>
      <vt:lpstr>Modelo</vt:lpstr>
      <vt:lpstr>Escenarios</vt:lpstr>
      <vt:lpstr>Flujos</vt:lpstr>
      <vt:lpstr>Supuestos</vt:lpstr>
      <vt:lpstr>Covenants</vt:lpstr>
      <vt:lpstr>caja0</vt:lpstr>
      <vt:lpstr>cajamin</vt:lpstr>
      <vt:lpstr>cfads0</vt:lpstr>
      <vt:lpstr>covenant</vt:lpstr>
      <vt:lpstr>crec</vt:lpstr>
      <vt:lpstr>gracia</vt:lpstr>
      <vt:lpstr>m</vt:lpstr>
      <vt:lpstr>metodo</vt:lpstr>
      <vt:lpstr>monto</vt:lpstr>
      <vt:lpstr>plazo</vt:lpstr>
      <vt:lpstr>Covenants!Print_Titles</vt:lpstr>
      <vt:lpstr>Escenarios!Print_Titles</vt:lpstr>
      <vt:lpstr>Flujos!Print_Titles</vt:lpstr>
      <vt:lpstr>Modelo!Print_Titles</vt:lpstr>
      <vt:lpstr>Panel!Print_Titles</vt:lpstr>
      <vt:lpstr>Supuestos!Print_Titles</vt:lpstr>
      <vt:lpstr>tasa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2026-08-03T15:26:20Z</dcterms:created>
  <dcterms:modified xsi:type="dcterms:W3CDTF">2026-08-03T15:26:20Z</dcterms:modified>
</cp:coreProperties>
</file>