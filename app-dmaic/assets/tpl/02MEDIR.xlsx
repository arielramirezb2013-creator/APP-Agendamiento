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tables/table1.xml" ContentType="application/vnd.openxmlformats-officedocument.spreadsheetml.table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en Flores\Desktop\PROYECTO DIGITAL\MANUAL SIX SIGMA\"/>
    </mc:Choice>
  </mc:AlternateContent>
  <xr:revisionPtr revIDLastSave="0" documentId="13_ncr:1_{290C3853-00B7-4A4B-AACE-56CEEC2EF6AF}" xr6:coauthVersionLast="47" xr6:coauthVersionMax="47" xr10:uidLastSave="{00000000-0000-0000-0000-000000000000}"/>
  <bookViews>
    <workbookView xWindow="-120" yWindow="-120" windowWidth="20730" windowHeight="11160" xr2:uid="{60B02B6D-262C-4F44-9051-BF177D5EB6D1}"/>
  </bookViews>
  <sheets>
    <sheet name="Swin Line" sheetId="2" r:id="rId1"/>
    <sheet name="Process Mapping Detailed" sheetId="3" r:id="rId2"/>
    <sheet name="Metricos de desempeño" sheetId="1" r:id="rId3"/>
    <sheet name="Plan de muestreo cualitativo" sheetId="4" r:id="rId4"/>
    <sheet name="Tamaño de muestra cualitativos" sheetId="7" r:id="rId5"/>
    <sheet name="Plan de muestreo cuantitativo" sheetId="5" r:id="rId6"/>
    <sheet name="Tamaño de muestra cuantitativo" sheetId="8" r:id="rId7"/>
    <sheet name="Hojas de verificacion" sheetId="9" r:id="rId8"/>
    <sheet name="Plan de recoleccion" sheetId="6" r:id="rId9"/>
    <sheet name="YIELD" sheetId="11" r:id="rId10"/>
    <sheet name="RTY-FPY" sheetId="12" r:id="rId11"/>
    <sheet name="Grafico Serie de tiempo" sheetId="19" r:id="rId12"/>
    <sheet name="%VALOR ADD" sheetId="13" r:id="rId13"/>
    <sheet name="PPM" sheetId="14" r:id="rId14"/>
    <sheet name="DPMO" sheetId="15" r:id="rId15"/>
    <sheet name="DPU" sheetId="16" r:id="rId16"/>
    <sheet name="A3 Medir" sheetId="18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RR1">[1]Summary!$C$21:$C$40</definedName>
    <definedName name="_RR2">[1]Summary!$K$21:$K$40</definedName>
    <definedName name="A">#REF!</definedName>
    <definedName name="Access_Button" hidden="1">"WPOAUDIT_Sheet1_List"</definedName>
    <definedName name="AccessDatabase" hidden="1">"G:\FIN&amp;PROD\REPORTS\WPOAUDIT.mdb"</definedName>
    <definedName name="App1T1Kend">[2]KendallBTS!$C$106:$G$110</definedName>
    <definedName name="App1T2Kend">[2]KendallBTS!$C$121:$G$125</definedName>
    <definedName name="App1T3Kend">[2]KendallBTS!$C$136:$G$140</definedName>
    <definedName name="App1T4Kend">[2]KendallBTS!$C$151:$G$155</definedName>
    <definedName name="App1T5Kend">[2]KendallBTS!$C$166:$G$170</definedName>
    <definedName name="App2T1Kend">[2]KendallBTS!$H$106:$L$110</definedName>
    <definedName name="App2T2Kend">[2]KendallBTS!$H$121:$L$125</definedName>
    <definedName name="App2T3Kend">[2]KendallBTS!$H$136:$L$140</definedName>
    <definedName name="App2T4Kend">[2]KendallBTS!$H$151:$L$155</definedName>
    <definedName name="App2T5Kend">[2]KendallBTS!$H$166:$L$170</definedName>
    <definedName name="App3T1Kend">[2]KendallBTS!$M$106:$Q$110</definedName>
    <definedName name="App3T2Kend">[2]KendallBTS!$M$121:$Q$125</definedName>
    <definedName name="App3T3Kend">[2]KendallBTS!$M$136:$Q$140</definedName>
    <definedName name="App3T4Kend">[2]KendallBTS!$M$151:$Q$155</definedName>
    <definedName name="App3T5Kend">[2]KendallBTS!$M$166:$Q$170</definedName>
    <definedName name="App4T1Kend">[2]KendallBTS!$R$106:$V$110</definedName>
    <definedName name="App4T2Kend">[2]KendallBTS!$R$121:$V$125</definedName>
    <definedName name="App4T3Kend">[2]KendallBTS!$R$136:$V$140</definedName>
    <definedName name="App4T4Kend">[2]KendallBTS!$R$151:$V$155</definedName>
    <definedName name="App4T5Kend">[2]KendallBTS!$R$166:$V$170</definedName>
    <definedName name="App5T1Kend">[2]KendallBTS!$W$106:$AA$110</definedName>
    <definedName name="App5T2Kend">[2]KendallBTS!$W$121:$AA$125</definedName>
    <definedName name="App5T3Kend">[2]KendallBTS!$W$136:$AA$140</definedName>
    <definedName name="App5T4Kend">[2]KendallBTS!$W$151:$AA$155</definedName>
    <definedName name="App5T5Kend">[2]KendallBTS!$W$166:$AA$170</definedName>
    <definedName name="BASEAPPS">'[3] APPLICATIONS'!$A$2:$A$15</definedName>
    <definedName name="cdfButton_Click">#N/A</definedName>
    <definedName name="CENTER" localSheetId="11">#REF!</definedName>
    <definedName name="CENTER">#REF!</definedName>
    <definedName name="Clf" localSheetId="11">#REF!</definedName>
    <definedName name="Clf">#REF!</definedName>
    <definedName name="Clr" localSheetId="11">#REF!</definedName>
    <definedName name="Clr">#REF!</definedName>
    <definedName name="ColAnchor" localSheetId="11">#REF!</definedName>
    <definedName name="ColAnchor">#REF!</definedName>
    <definedName name="Constant" localSheetId="11">#REF!</definedName>
    <definedName name="Constant">#REF!</definedName>
    <definedName name="cpk_Area_Style_Click">#N/A</definedName>
    <definedName name="cpk_Change_LSL_Click">#N/A</definedName>
    <definedName name="cpk_Change_USL_Click">#N/A</definedName>
    <definedName name="cpk_Line_Style_Click">#N/A</definedName>
    <definedName name="cpk_No_LSL_Click">#N/A</definedName>
    <definedName name="cpk_No_USL_Click">#N/A</definedName>
    <definedName name="cpk_Res_Spinner_Click">#N/A</definedName>
    <definedName name="cpkButton_Click">#N/A</definedName>
    <definedName name="Customer" localSheetId="11">#REF!</definedName>
    <definedName name="Customer">#REF!</definedName>
    <definedName name="Cwf" localSheetId="11">#REF!</definedName>
    <definedName name="Cwf">#REF!</definedName>
    <definedName name="Cwr" localSheetId="11">#REF!</definedName>
    <definedName name="Cwr">#REF!</definedName>
    <definedName name="daily_acct_summary" localSheetId="11">'[4]bench comparo'!#REF!</definedName>
    <definedName name="daily_acct_summary">'[4]bench comparo'!#REF!</definedName>
    <definedName name="Diagram_Back_Click">#N/A</definedName>
    <definedName name="Diagram_Finish_Click">#N/A</definedName>
    <definedName name="Diagrams_Dialog_Constructor">#N/A</definedName>
    <definedName name="DPMO" localSheetId="11">[5]PPM!$B$16</definedName>
    <definedName name="DPMO">'[6]Sigma Level SHIFT'!$B$16</definedName>
    <definedName name="DT_Hrs" localSheetId="11">#REF!</definedName>
    <definedName name="DT_Hrs">#REF!</definedName>
    <definedName name="DT_Rate" localSheetId="11">#REF!</definedName>
    <definedName name="DT_Rate">#REF!</definedName>
    <definedName name="FSR" localSheetId="11">#REF!</definedName>
    <definedName name="FSR">#REF!</definedName>
    <definedName name="g_Cancel_Chart">#N/A</definedName>
    <definedName name="GB" localSheetId="11">#REF!</definedName>
    <definedName name="GB">#REF!</definedName>
    <definedName name="gDataRange" localSheetId="11">#REF!</definedName>
    <definedName name="gDataRange">#REF!</definedName>
    <definedName name="HB" localSheetId="11">#REF!</definedName>
    <definedName name="HB">#REF!</definedName>
    <definedName name="Height">5</definedName>
    <definedName name="hist_Back_Click">#N/A</definedName>
    <definedName name="hist_Save_Defaults">#N/A</definedName>
    <definedName name="histButton_Click">#N/A</definedName>
    <definedName name="InicioDelProyecto">[7]Gantt!$E$4</definedName>
    <definedName name="Intercept" localSheetId="11">[8]wksScatterPlot!$AE$2</definedName>
    <definedName name="Intercept">[9]wksScatterPlot!$AE$2</definedName>
    <definedName name="k_3" localSheetId="11">#REF!</definedName>
    <definedName name="k_3">#REF!</definedName>
    <definedName name="LCL" localSheetId="11">#REF!</definedName>
    <definedName name="LCL">#REF!</definedName>
    <definedName name="LF" localSheetId="11">#REF!</definedName>
    <definedName name="LF">#REF!</definedName>
    <definedName name="LR" localSheetId="11">#REF!</definedName>
    <definedName name="LR">#REF!</definedName>
    <definedName name="LSL" localSheetId="11">#REF!</definedName>
    <definedName name="LSL">#REF!</definedName>
    <definedName name="LSL_cell" localSheetId="11">[8]wksHistogram!$AF$1</definedName>
    <definedName name="LSL_cell">[9]wksHistogram!$AF$1</definedName>
    <definedName name="Max_45Line" localSheetId="11">[8]wksScatterPlot!$AH$5</definedName>
    <definedName name="Max_45Line">[9]wksScatterPlot!$AH$5</definedName>
    <definedName name="Min_45Line" localSheetId="11">[8]wksScatterPlot!$AH$4</definedName>
    <definedName name="Min_45Line">[9]wksScatterPlot!$AH$4</definedName>
    <definedName name="myCats" localSheetId="11">OFFSET(#REF!,0,0,COUNTA(#REF!),2)</definedName>
    <definedName name="myCats">OFFSET('[6]Attribute Data Sheet'!$C$33,0,0,COUNTA('[6]Attribute Data Sheet'!$C$33:$C$37),2)</definedName>
    <definedName name="N" localSheetId="11">#REF!</definedName>
    <definedName name="N">#REF!</definedName>
    <definedName name="num" localSheetId="11">#REF!</definedName>
    <definedName name="num">#REF!</definedName>
    <definedName name="Num_Bins" localSheetId="11">[8]wksCapAnalysis!$AF$12</definedName>
    <definedName name="Num_Bins">[9]wksCapAnalysis!$AF$12</definedName>
    <definedName name="NumApps">#REF!</definedName>
    <definedName name="Number_of_Operators" localSheetId="11">#REF!</definedName>
    <definedName name="Number_of_Operators">#REF!</definedName>
    <definedName name="Number_of_Parts" localSheetId="11">#REF!</definedName>
    <definedName name="Number_of_Parts">#REF!</definedName>
    <definedName name="Number_of_Trials" localSheetId="11">#REF!</definedName>
    <definedName name="Number_of_Trials">#REF!</definedName>
    <definedName name="NumCats">[2]KappaBTS!$B$4</definedName>
    <definedName name="numdevs" localSheetId="11">#REF!</definedName>
    <definedName name="numdevs">#REF!</definedName>
    <definedName name="NumSamps">#REF!</definedName>
    <definedName name="NumTrials">[2]KappaBTS!$B$5</definedName>
    <definedName name="Occurrence" localSheetId="11">'[10]Project Plan'!$N$5:$O$9</definedName>
    <definedName name="Occurrence">[11]Matrix!$N$5:$O$9</definedName>
    <definedName name="OT_Hrs" localSheetId="11">#REF!</definedName>
    <definedName name="OT_Hrs">#REF!</definedName>
    <definedName name="OT_Rate" localSheetId="11">#REF!</definedName>
    <definedName name="OT_Rate">#REF!</definedName>
    <definedName name="par_2DwCum_Click">#N/A</definedName>
    <definedName name="par_2DwoCum_Click">#N/A</definedName>
    <definedName name="par_3DwoCum_Click">#N/A</definedName>
    <definedName name="par_Ascend_Click">#N/A</definedName>
    <definedName name="par_Back_Click">#N/A</definedName>
    <definedName name="par_Descend_Click">#N/A</definedName>
    <definedName name="par_First_Row_Click">#N/A</definedName>
    <definedName name="par_Save_Defaults">#N/A</definedName>
    <definedName name="parButton_Click">#N/A</definedName>
    <definedName name="parFirst" localSheetId="11">[12]Defaults!#REF!</definedName>
    <definedName name="parFirst">[12]Defaults!#REF!</definedName>
    <definedName name="parLegend" localSheetId="11">[12]Defaults!#REF!</definedName>
    <definedName name="parLegend">[12]Defaults!#REF!</definedName>
    <definedName name="parRows" localSheetId="11">[12]Defaults!#REF!</definedName>
    <definedName name="parRows">[12]Defaults!#REF!</definedName>
    <definedName name="parSort" localSheetId="11">[12]Defaults!#REF!</definedName>
    <definedName name="parSort">[12]Defaults!#REF!</definedName>
    <definedName name="Percent_R___R_1">[1]Summary!$C$21:$C$40</definedName>
    <definedName name="Percent_R___R_2">[1]Summary!#REF!</definedName>
    <definedName name="PLAN">#REF!</definedName>
    <definedName name="PlotRange" localSheetId="11">#REF!</definedName>
    <definedName name="PlotRange">#REF!</definedName>
    <definedName name="PM" localSheetId="11">#REF!</definedName>
    <definedName name="PM">#REF!</definedName>
    <definedName name="qet_Bottom" localSheetId="11">#REF!</definedName>
    <definedName name="qet_Bottom">#REF!</definedName>
    <definedName name="qet_capNonNorm_bins" localSheetId="11">OFFSET([8]wksCapAnalysisNonNormal!$AB$2,0,0,[8]wksCapAnalysisNonNormal!$AF$12)</definedName>
    <definedName name="qet_capNonNorm_bins">OFFSET([9]wksCapAnalysisNonNormal!$AB$2,0,0,[9]wksCapAnalysisNonNormal!$AF$12)</definedName>
    <definedName name="qet_capNonNorm_freq" localSheetId="11">OFFSET([8]wksCapAnalysisNonNormal!$AC$2,0,0,[8]wksCapAnalysisNonNormal!$AF$12)</definedName>
    <definedName name="qet_capNonNorm_freq">OFFSET([9]wksCapAnalysisNonNormal!$AC$2,0,0,[9]wksCapAnalysisNonNormal!$AF$12)</definedName>
    <definedName name="qet_capNorm_bins" localSheetId="11">OFFSET([8]wksCapAnalysis!$AB$2,0,0,[8]wksCapAnalysis!$AF$12)</definedName>
    <definedName name="qet_capNorm_bins">OFFSET([9]wksCapAnalysis!$AB$2,0,0,[9]wksCapAnalysis!$AF$12)</definedName>
    <definedName name="qet_capNorm_freq" localSheetId="11">OFFSET([8]wksCapAnalysis!$AC$2,0,0,[8]wksCapAnalysis!$AF$12)</definedName>
    <definedName name="qet_capNorm_freq">OFFSET([9]wksCapAnalysis!$AC$2,0,0,[9]wksCapAnalysis!$AF$12)</definedName>
    <definedName name="QET_FirstRow" localSheetId="11">#REF!</definedName>
    <definedName name="QET_FirstRow">#REF!</definedName>
    <definedName name="qet_histo_bins" localSheetId="11">OFFSET([8]wksHistogram!$AB$2,0,0,[8]wksHistogram!$AF$12,1)</definedName>
    <definedName name="qet_histo_bins">OFFSET([9]wksHistogram!$AB$2,0,0,[9]wksHistogram!$AF$12,1)</definedName>
    <definedName name="qet_histo_freq" localSheetId="11">OFFSET([8]wksHistogram!$AC$2,0,0,[8]wksHistogram!$AF$12,1)</definedName>
    <definedName name="qet_histo_freq">OFFSET([9]wksHistogram!$AC$2,0,0,[9]wksHistogram!$AF$12,1)</definedName>
    <definedName name="qet_histo_freq_rel" localSheetId="11">OFFSET([8]wksHistogram!$C$10,0,0,[8]wksHistogram!$AF$12,1)</definedName>
    <definedName name="qet_histo_freq_rel">OFFSET([9]wksHistogram!$C$10,0,0,[9]wksHistogram!$AF$12,1)</definedName>
    <definedName name="QET_HOQ_FirstCol" localSheetId="11" hidden="1">#REF!</definedName>
    <definedName name="QET_HOQ_FirstCol" hidden="1">#REF!</definedName>
    <definedName name="QET_HOQ_FirstRow" localSheetId="11" hidden="1">#REF!</definedName>
    <definedName name="QET_HOQ_FirstRow" hidden="1">#REF!</definedName>
    <definedName name="QET_HOQ_LastCol" localSheetId="11" hidden="1">#REF!</definedName>
    <definedName name="QET_HOQ_LastCol" hidden="1">#REF!</definedName>
    <definedName name="QET_HOQ_LastRow" localSheetId="11" hidden="1">#REF!</definedName>
    <definedName name="QET_HOQ_LastRow" hidden="1">#REF!</definedName>
    <definedName name="QET_HOQ_RoofRow" localSheetId="11">#REF!</definedName>
    <definedName name="QET_HOQ_RoofRow">#REF!</definedName>
    <definedName name="QET_Pugh_FirstCol" localSheetId="11" hidden="1">#REF!</definedName>
    <definedName name="QET_Pugh_FirstCol" hidden="1">#REF!</definedName>
    <definedName name="QET_Pugh_FirstRow" localSheetId="11" hidden="1">#REF!</definedName>
    <definedName name="QET_Pugh_FirstRow" hidden="1">#REF!</definedName>
    <definedName name="QET_Pugh_LastCol" localSheetId="11" hidden="1">#REF!</definedName>
    <definedName name="QET_Pugh_LastCol" hidden="1">#REF!</definedName>
    <definedName name="QET_Pugh_LastRow" localSheetId="11" hidden="1">#REF!</definedName>
    <definedName name="QET_Pugh_LastRow" hidden="1">#REF!</definedName>
    <definedName name="qet_Response" localSheetId="11">#REF!</definedName>
    <definedName name="qet_Response">#REF!</definedName>
    <definedName name="qet_Sample" localSheetId="11">#REF!</definedName>
    <definedName name="qet_Sample">#REF!</definedName>
    <definedName name="QET_SC_Box1_FirstRow" hidden="1">[13]tmlWks_Scorecard!$37:$37</definedName>
    <definedName name="QET_SC_Box1_LastRow" hidden="1">[13]tmlWks_Scorecard!$38:$38</definedName>
    <definedName name="QET_SC_Box2_FirstRow" hidden="1">[13]tmlWks_Scorecard!$44:$44</definedName>
    <definedName name="QET_SC_Box2_LastRow" hidden="1">[13]tmlWks_Scorecard!$45:$45</definedName>
    <definedName name="QET_SC_Box3_FirstRow" hidden="1">[13]tmlWks_Scorecard!$51:$51</definedName>
    <definedName name="QET_SC_Box3_LastRow" hidden="1">[13]tmlWks_Scorecard!$52:$52</definedName>
    <definedName name="QET_SC_Box4_FirstRow" hidden="1">[13]tmlWks_Scorecard!$58:$58</definedName>
    <definedName name="QET_SC_Box4_LastRow" hidden="1">[13]tmlWks_Scorecard!$59:$59</definedName>
    <definedName name="QET_SC_Box5_FirstRow" hidden="1">[13]tmlWks_Scorecard!$65:$65</definedName>
    <definedName name="QET_SC_Box5_LastRow" hidden="1">[13]tmlWks_Scorecard!$66:$66</definedName>
    <definedName name="QET_SC_Box6_FirstRow" hidden="1">[13]tmlWks_Scorecard!$72:$72</definedName>
    <definedName name="QET_SC_Box6_LastRow" hidden="1">[13]tmlWks_Scorecard!$73:$73</definedName>
    <definedName name="QET_SC_Box7_FirstRow" hidden="1">[13]tmlWks_Scorecard!$79:$79</definedName>
    <definedName name="QET_SC_Box7_LastRow" hidden="1">[13]tmlWks_Scorecard!$80:$80</definedName>
    <definedName name="QET_SC_Box8_FirstRow" hidden="1">[13]tmlWks_Scorecard!$86:$86</definedName>
    <definedName name="QET_SC_Box8_LastRow" hidden="1">[13]tmlWks_Scorecard!$87:$87</definedName>
    <definedName name="QET_SC_DCol">[13]tmlWks_Scorecard!$F:$F</definedName>
    <definedName name="QET_SC_FirstCol">[13]tmlWks_Scorecard!$C:$C</definedName>
    <definedName name="QET_SC_LastCol">[13]tmlWks_Scorecard!$L:$L</definedName>
    <definedName name="QET_SCSimp_Box1_LastRow" localSheetId="11" hidden="1">#REF!</definedName>
    <definedName name="QET_SCSimp_Box1_LastRow" hidden="1">#REF!</definedName>
    <definedName name="QET_SCSimp_Box2_FirstRow" localSheetId="11" hidden="1">#REF!</definedName>
    <definedName name="QET_SCSimp_Box2_FirstRow" hidden="1">#REF!</definedName>
    <definedName name="QET_SCSimp_Box2_LastRow" localSheetId="11" hidden="1">#REF!</definedName>
    <definedName name="QET_SCSimp_Box2_LastRow" hidden="1">#REF!</definedName>
    <definedName name="QET_SCSimp_Box3_FirstRow" localSheetId="11" hidden="1">#REF!</definedName>
    <definedName name="QET_SCSimp_Box3_FirstRow" hidden="1">#REF!</definedName>
    <definedName name="QET_SCSimp_Box3_LastRow" localSheetId="11" hidden="1">#REF!</definedName>
    <definedName name="QET_SCSimp_Box3_LastRow" hidden="1">#REF!</definedName>
    <definedName name="QET_SCSimp_Box4_FirstRow" localSheetId="11" hidden="1">#REF!</definedName>
    <definedName name="QET_SCSimp_Box4_FirstRow" hidden="1">#REF!</definedName>
    <definedName name="QET_SCSimp_Box4_LastRow" localSheetId="11" hidden="1">#REF!</definedName>
    <definedName name="QET_SCSimp_Box4_LastRow" hidden="1">#REF!</definedName>
    <definedName name="QET_SCSimp_Box5_FirstRow" localSheetId="11" hidden="1">#REF!</definedName>
    <definedName name="QET_SCSimp_Box5_FirstRow" hidden="1">#REF!</definedName>
    <definedName name="QET_SCSimp_Box5_LastRow" localSheetId="11" hidden="1">#REF!</definedName>
    <definedName name="QET_SCSimp_Box5_LastRow" hidden="1">#REF!</definedName>
    <definedName name="QET_SCSimp_Box6_FirstRow" localSheetId="11" hidden="1">#REF!</definedName>
    <definedName name="QET_SCSimp_Box6_FirstRow" hidden="1">#REF!</definedName>
    <definedName name="QET_SCSimp_Box6_LastRow" localSheetId="11" hidden="1">#REF!</definedName>
    <definedName name="QET_SCSimp_Box6_LastRow" hidden="1">#REF!</definedName>
    <definedName name="QET_SCSimp_Box7_FirstRow" localSheetId="11" hidden="1">#REF!</definedName>
    <definedName name="QET_SCSimp_Box7_FirstRow" hidden="1">#REF!</definedName>
    <definedName name="QET_SCSimp_Box7_LastRow" localSheetId="11" hidden="1">#REF!</definedName>
    <definedName name="QET_SCSimp_Box7_LastRow" hidden="1">#REF!</definedName>
    <definedName name="QET_SCSimp_Box8_FirstRow" localSheetId="11" hidden="1">#REF!</definedName>
    <definedName name="QET_SCSimp_Box8_FirstRow" hidden="1">#REF!</definedName>
    <definedName name="QET_SCSimp_Box8_LastRow" localSheetId="11" hidden="1">#REF!</definedName>
    <definedName name="QET_SCSimp_Box8_LastRow" hidden="1">#REF!</definedName>
    <definedName name="QET_SCSimp_FirstCol" localSheetId="11" hidden="1">#REF!</definedName>
    <definedName name="QET_SCSimp_FirstCol" hidden="1">#REF!</definedName>
    <definedName name="QET_SCSimp_LastCol" localSheetId="11" hidden="1">#REF!</definedName>
    <definedName name="QET_SCSimp_LastCol" hidden="1">#REF!</definedName>
    <definedName name="QET_TolWks_FirstRow" localSheetId="11">#REF!</definedName>
    <definedName name="QET_TolWks_FirstRow">#REF!</definedName>
    <definedName name="QET_TolWks_LastRow" localSheetId="11" hidden="1">#REF!</definedName>
    <definedName name="QET_TolWks_LastRow" hidden="1">#REF!</definedName>
    <definedName name="QET_TolWks_T">'[13]tmlWks_Tolerance Analysis'!$G:$G</definedName>
    <definedName name="QET_TolWks_Tlower">'[13]tmlWks_Tolerance Analysis'!$I:$I</definedName>
    <definedName name="QET_TolWks_Tupper">'[13]tmlWks_Tolerance Analysis'!$J:$J</definedName>
    <definedName name="qet_Top" localSheetId="11">#REF!</definedName>
    <definedName name="qet_Top">#REF!</definedName>
    <definedName name="qet_yield_LastCol" localSheetId="11" hidden="1">#REF!</definedName>
    <definedName name="qet_yield_LastCol" hidden="1">#REF!</definedName>
    <definedName name="QPT_No" localSheetId="11">#REF!</definedName>
    <definedName name="QPT_No">#REF!</definedName>
    <definedName name="R_1" localSheetId="11">[8]wksScatterPlot!$A$3</definedName>
    <definedName name="R_1">[9]wksScatterPlot!$A$3</definedName>
    <definedName name="R_2" localSheetId="11">[8]wksScatterPlot!$B$3</definedName>
    <definedName name="R_2">[9]wksScatterPlot!$B$3</definedName>
    <definedName name="RANGE" localSheetId="11">#REF!</definedName>
    <definedName name="RANGE">#REF!</definedName>
    <definedName name="RegressionAnal" localSheetId="11">#REF!</definedName>
    <definedName name="RegressionAnal">#REF!</definedName>
    <definedName name="RegStats" localSheetId="11">#REF!</definedName>
    <definedName name="RegStats">#REF!</definedName>
    <definedName name="RiskMatrix" localSheetId="11">'[10]Project Plan'!$B$4:$K$13</definedName>
    <definedName name="RiskMatrix">[11]Matrix!$B$4:$K$13</definedName>
    <definedName name="RowAnchor" localSheetId="11">#REF!</definedName>
    <definedName name="RowAnchor">#REF!</definedName>
    <definedName name="RSTDDEV" localSheetId="11">#REF!</definedName>
    <definedName name="RSTDDEV">#REF!</definedName>
    <definedName name="scat_Back_Click">#N/A</definedName>
    <definedName name="scat_Backward_Spinner_Click">#N/A</definedName>
    <definedName name="scat_Cubic_Click">#N/A</definedName>
    <definedName name="scat_Display_Stats_Click">#N/A</definedName>
    <definedName name="scat_Forward_Spinner_Click">#N/A</definedName>
    <definedName name="scat_Linear_Click">#N/A</definedName>
    <definedName name="scat_No_Line_Click">#N/A</definedName>
    <definedName name="scat_Quadratic_Click">#N/A</definedName>
    <definedName name="scat_Save_Defaults">#N/A</definedName>
    <definedName name="scatButton_Click">#N/A</definedName>
    <definedName name="scores">'[14]DOE 2^2 template'!$B$11:$D$11</definedName>
    <definedName name="scores3" localSheetId="11">#REF!</definedName>
    <definedName name="scores3">#REF!</definedName>
    <definedName name="scores4" localSheetId="11">#REF!</definedName>
    <definedName name="scores4">#REF!</definedName>
    <definedName name="Scroll_Width" localSheetId="11">[8]wksHistogram!$AF$16</definedName>
    <definedName name="Scroll_Width">[9]wksHistogram!$AF$16</definedName>
    <definedName name="SemanaParaMostrar">[7]Gantt!$E$6</definedName>
    <definedName name="Severity" localSheetId="11">'[10]Project Plan'!$T$5:$U$9</definedName>
    <definedName name="Severity">[11]Matrix!$T$5:$U$9</definedName>
    <definedName name="Slope" localSheetId="11">[8]wksScatterPlot!$AF$2</definedName>
    <definedName name="Slope">[9]wksScatterPlot!$AF$2</definedName>
    <definedName name="Small_Back_Click">#N/A</definedName>
    <definedName name="SSE" localSheetId="11">#REF!</definedName>
    <definedName name="SSE">#REF!</definedName>
    <definedName name="SSR" localSheetId="11">#REF!</definedName>
    <definedName name="SSR">#REF!</definedName>
    <definedName name="SST" localSheetId="11">#REF!</definedName>
    <definedName name="SST">#REF!</definedName>
    <definedName name="ST_Hrs" localSheetId="11">#REF!</definedName>
    <definedName name="ST_Hrs">#REF!</definedName>
    <definedName name="ST_Rate" localSheetId="11">#REF!</definedName>
    <definedName name="ST_Rate">#REF!</definedName>
    <definedName name="StartValue">0.475</definedName>
    <definedName name="statButton_Click">#N/A</definedName>
    <definedName name="Status">'[15]Drop-Down'!$A$2:$A$5</definedName>
    <definedName name="StepValue">0.001</definedName>
    <definedName name="SumBaseCell" localSheetId="11">#REF!</definedName>
    <definedName name="SumBaseCell">#REF!</definedName>
    <definedName name="T" localSheetId="11">#REF!</definedName>
    <definedName name="T">#REF!</definedName>
    <definedName name="TARGET_Cell" localSheetId="11">[8]wksHistogram!$AF$2</definedName>
    <definedName name="TARGET_Cell">[9]wksHistogram!$AF$2</definedName>
    <definedName name="Tolerance_Range" localSheetId="11">#REF!</definedName>
    <definedName name="Tolerance_Range">#REF!</definedName>
    <definedName name="Topic" localSheetId="11">'[10]Project Contract'!$B$65:$B$66</definedName>
    <definedName name="Topic">#REF!</definedName>
    <definedName name="Topic1" localSheetId="11">#REF!</definedName>
    <definedName name="Topic1">#REF!</definedName>
    <definedName name="Topic3" localSheetId="11">#REF!</definedName>
    <definedName name="Topic3">#REF!</definedName>
    <definedName name="Topic4" localSheetId="11">#REF!</definedName>
    <definedName name="Topic4">#REF!</definedName>
    <definedName name="Topic5" localSheetId="11">#REF!</definedName>
    <definedName name="Topic5">#REF!</definedName>
    <definedName name="Total_Wkly_Hrs" localSheetId="11">#REF!</definedName>
    <definedName name="Total_Wkly_Hrs">#REF!</definedName>
    <definedName name="Trend_Equation" localSheetId="11">[16]wksScatterPlot!#REF!</definedName>
    <definedName name="Trend_Equation">[16]wksScatterPlot!#REF!</definedName>
    <definedName name="Trend_X0" localSheetId="11">[8]wksScatterPlot!$AE$4</definedName>
    <definedName name="Trend_X0">[9]wksScatterPlot!$AE$4</definedName>
    <definedName name="Trend_X1" localSheetId="11">[8]wksScatterPlot!$AE$5</definedName>
    <definedName name="Trend_X1">[9]wksScatterPlot!$AE$5</definedName>
    <definedName name="Trend_Y0" localSheetId="11">[8]wksScatterPlot!$AF$4</definedName>
    <definedName name="Trend_Y0">[9]wksScatterPlot!$AF$4</definedName>
    <definedName name="Trend_Y1" localSheetId="11">[8]wksScatterPlot!$AF$5</definedName>
    <definedName name="Trend_Y1">[9]wksScatterPlot!$AF$5</definedName>
    <definedName name="TYPE" localSheetId="11">[8]wksHistogram!$AF$1</definedName>
    <definedName name="TYPE">[9]wksHistogram!$AF$1</definedName>
    <definedName name="UCL" localSheetId="11">#REF!</definedName>
    <definedName name="UCL">#REF!</definedName>
    <definedName name="Unit_Range" localSheetId="11">'[8]wksP-Chart'!$AQ$2</definedName>
    <definedName name="Unit_Range">'[9]wksP-Chart'!$AQ$2</definedName>
    <definedName name="UserXRange" localSheetId="11">#REF!</definedName>
    <definedName name="UserXRange">#REF!</definedName>
    <definedName name="UserYRange" localSheetId="11">#REF!</definedName>
    <definedName name="UserYRange">#REF!</definedName>
    <definedName name="USL" localSheetId="11">#REF!</definedName>
    <definedName name="USL">#REF!</definedName>
    <definedName name="USL_cell" localSheetId="11">[8]wksHistogram!$AF$3</definedName>
    <definedName name="USL_cell">[9]wksHistogram!$AF$3</definedName>
    <definedName name="Variable_Name" localSheetId="11">[8]wksCapAnalysis!$AF$3</definedName>
    <definedName name="Variable_Name">[9]wksCapAnalysis!$AF$3</definedName>
    <definedName name="WF" localSheetId="11">#REF!</definedName>
    <definedName name="WF">#REF!</definedName>
    <definedName name="Width">2</definedName>
    <definedName name="Wkly_Hrs" localSheetId="11">#REF!</definedName>
    <definedName name="Wkly_Hrs">#REF!</definedName>
    <definedName name="WPOAUDIT_Sheet1_List">[17]Form!$A$37:$A$38</definedName>
    <definedName name="WR" localSheetId="11">#REF!</definedName>
    <definedName name="WR">#REF!</definedName>
    <definedName name="X0" localSheetId="11">[8]wksScatterPlot!$AE$4</definedName>
    <definedName name="X0">[9]wksScatterPlot!$AE$4</definedName>
    <definedName name="Y0" localSheetId="11">[8]wksScatterPlot!$AF$4</definedName>
    <definedName name="Y0">[9]wksScatterPlot!$AF$4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9" l="1"/>
  <c r="H7" i="15"/>
  <c r="H8" i="15"/>
  <c r="H9" i="15"/>
  <c r="H10" i="15"/>
  <c r="H11" i="15"/>
  <c r="H12" i="15"/>
  <c r="H13" i="15"/>
  <c r="H14" i="15"/>
  <c r="H15" i="15"/>
  <c r="H16" i="15"/>
  <c r="D17" i="15"/>
  <c r="E17" i="15"/>
  <c r="F17" i="15"/>
  <c r="G17" i="15"/>
  <c r="D8" i="16"/>
  <c r="E7" i="16" s="1"/>
  <c r="K7" i="15"/>
  <c r="F4" i="14"/>
  <c r="H4" i="14" s="1"/>
  <c r="E4" i="14"/>
  <c r="G4" i="14" s="1"/>
  <c r="I4" i="14" s="1"/>
  <c r="D15" i="13"/>
  <c r="D14" i="13"/>
  <c r="D20" i="12"/>
  <c r="D19" i="12"/>
  <c r="D6" i="12"/>
  <c r="D7" i="12" s="1"/>
  <c r="G4" i="11"/>
  <c r="D4" i="11"/>
  <c r="G5" i="11" s="1"/>
  <c r="C7" i="8"/>
  <c r="C8" i="8" s="1"/>
  <c r="C9" i="8" s="1"/>
  <c r="F5" i="8" s="1"/>
  <c r="C8" i="7"/>
  <c r="C9" i="7" s="1"/>
  <c r="C10" i="7" s="1"/>
  <c r="C6" i="7"/>
  <c r="H17" i="15" l="1"/>
  <c r="K10" i="15" s="1"/>
  <c r="D16" i="13"/>
  <c r="E16" i="13" s="1"/>
  <c r="D8" i="12"/>
  <c r="G7" i="12"/>
  <c r="H7" i="12" s="1"/>
  <c r="G6" i="12"/>
  <c r="H6" i="12" s="1"/>
  <c r="J6" i="12"/>
  <c r="F11" i="7"/>
  <c r="F10" i="8"/>
  <c r="F6" i="7"/>
  <c r="N44" i="3"/>
  <c r="O44" i="3"/>
  <c r="M44" i="3"/>
  <c r="B44" i="3"/>
  <c r="C17" i="15" l="1"/>
  <c r="J7" i="15" s="1"/>
  <c r="K9" i="15" s="1"/>
  <c r="L10" i="15" s="1"/>
  <c r="E15" i="13"/>
  <c r="E14" i="13"/>
  <c r="J7" i="12"/>
  <c r="K6" i="12"/>
  <c r="D9" i="12"/>
  <c r="G8" i="12"/>
  <c r="H8" i="12" s="1"/>
  <c r="K12" i="15" l="1"/>
  <c r="D10" i="12"/>
  <c r="G9" i="12"/>
  <c r="H9" i="12" s="1"/>
  <c r="J8" i="12"/>
  <c r="K7" i="12"/>
  <c r="J9" i="12" l="1"/>
  <c r="K8" i="12"/>
  <c r="D11" i="12"/>
  <c r="G11" i="12" s="1"/>
  <c r="G10" i="12"/>
  <c r="H10" i="12" s="1"/>
  <c r="H11" i="12" l="1"/>
  <c r="D18" i="12"/>
  <c r="J10" i="12"/>
  <c r="K9" i="12"/>
  <c r="H12" i="12"/>
  <c r="J11" i="12" l="1"/>
  <c r="K10" i="12"/>
  <c r="H18" i="12" l="1"/>
  <c r="K11" i="12"/>
  <c r="K12" i="12" s="1"/>
</calcChain>
</file>

<file path=xl/sharedStrings.xml><?xml version="1.0" encoding="utf-8"?>
<sst xmlns="http://schemas.openxmlformats.org/spreadsheetml/2006/main" count="217" uniqueCount="169">
  <si>
    <t>SWIM LINE</t>
  </si>
  <si>
    <t>DIAGRAM CROSS-FUNCTIONAL</t>
  </si>
  <si>
    <t>SYMBOLS</t>
  </si>
  <si>
    <t>CUSTOMER</t>
  </si>
  <si>
    <t>PROCESS STEPS</t>
  </si>
  <si>
    <t>TIME LINE</t>
  </si>
  <si>
    <t>DISTANCE</t>
  </si>
  <si>
    <t>NAME PROCESS:</t>
  </si>
  <si>
    <t>DEPARTAMENTO-AREA-FUNCION 1</t>
  </si>
  <si>
    <t>DEPARTAMENTO-AREA-FUNCION 2</t>
  </si>
  <si>
    <t>DEPARTAMENTO-AREA-FUNCION 3</t>
  </si>
  <si>
    <t>DEPARTAMENTO-AREA-FUNCION 4</t>
  </si>
  <si>
    <t>DEPARTAMENTO-AREA-FUNCION 5</t>
  </si>
  <si>
    <t>DEPARTAMENTO-AREA-FUNCION 6</t>
  </si>
  <si>
    <t>DEPARTAMENTO-AREA-FUNCION 7</t>
  </si>
  <si>
    <t>DEPARTAMENTO-AREA-FUNCION 8</t>
  </si>
  <si>
    <t>PROCESS NAME</t>
  </si>
  <si>
    <t>INDICATOR-METRICS-VARIABLES</t>
  </si>
  <si>
    <t>STEPS</t>
  </si>
  <si>
    <t>KPIV's (X's)</t>
  </si>
  <si>
    <t>SPECS</t>
  </si>
  <si>
    <t>GAGES</t>
  </si>
  <si>
    <t>TYPE OF INPUT</t>
  </si>
  <si>
    <t>PROCESS</t>
  </si>
  <si>
    <t>KPOV's (Y's)</t>
  </si>
  <si>
    <t>TOTAL</t>
  </si>
  <si>
    <t>PROCESS MAPPING DETAILED</t>
  </si>
  <si>
    <t>METRICS</t>
  </si>
  <si>
    <t>COMENTS - OBSERVATIONS</t>
  </si>
  <si>
    <r>
      <rPr>
        <b/>
        <sz val="11"/>
        <rFont val="Arial"/>
        <family val="2"/>
      </rPr>
      <t>QUALITY LEVEL</t>
    </r>
    <r>
      <rPr>
        <b/>
        <sz val="10"/>
        <rFont val="Arial"/>
        <family val="2"/>
      </rPr>
      <t xml:space="preserve">
</t>
    </r>
    <r>
      <rPr>
        <b/>
        <sz val="9"/>
        <rFont val="Arial"/>
        <family val="2"/>
      </rPr>
      <t>(DPU,PPM, DPMO, RTY, FTY)</t>
    </r>
  </si>
  <si>
    <t>CYCLE TIME (S)</t>
  </si>
  <si>
    <t>DISTANCE (M)</t>
  </si>
  <si>
    <t>COSTO/UNIDAD
NO CONFORMANCIAS ($)</t>
  </si>
  <si>
    <t>METRICOS DE DESEMPEÑO</t>
  </si>
  <si>
    <t>PROCESO</t>
  </si>
  <si>
    <t>METRICOS</t>
  </si>
  <si>
    <t>CARACTERISTICA A MEDIR</t>
  </si>
  <si>
    <t>ESTRATEGIA DE MUESTREO</t>
  </si>
  <si>
    <t>TAMAÑO DE LA MUESTRA</t>
  </si>
  <si>
    <t>FRECUENCIA DE MUESTREO</t>
  </si>
  <si>
    <t>QUE ES LO QUE SE VA A MEDIR</t>
  </si>
  <si>
    <t>PLAN RECOLECCION DE DATOS</t>
  </si>
  <si>
    <t>MEDICION</t>
  </si>
  <si>
    <t>DEFINICION OPERACIONAL</t>
  </si>
  <si>
    <t>FUENTE DE INFORMACION</t>
  </si>
  <si>
    <t>METODO DE RECOPILACION</t>
  </si>
  <si>
    <t>QUIEN RECOPILA DATOS</t>
  </si>
  <si>
    <t>FACTORES DE 
ESTRATIFICACION</t>
  </si>
  <si>
    <t>MUESTRA DATOS CUALITATIVOS</t>
  </si>
  <si>
    <t>Z</t>
  </si>
  <si>
    <t>α</t>
  </si>
  <si>
    <t>E</t>
  </si>
  <si>
    <t>1-p</t>
  </si>
  <si>
    <t>p</t>
  </si>
  <si>
    <t>n</t>
  </si>
  <si>
    <t>Tamaño de la poblacion desconocida</t>
  </si>
  <si>
    <r>
      <t xml:space="preserve"> 1-</t>
    </r>
    <r>
      <rPr>
        <sz val="16"/>
        <color theme="1"/>
        <rFont val="Calibri"/>
        <family val="2"/>
      </rPr>
      <t>α</t>
    </r>
    <r>
      <rPr>
        <sz val="16"/>
        <color theme="1"/>
        <rFont val="Calibri"/>
        <family val="2"/>
        <scheme val="minor"/>
      </rPr>
      <t xml:space="preserve"> </t>
    </r>
  </si>
  <si>
    <t>DATOS</t>
  </si>
  <si>
    <t>α/2</t>
  </si>
  <si>
    <t>N</t>
  </si>
  <si>
    <t>TAMAÑO DE MUESTRA</t>
  </si>
  <si>
    <t>Tamaño de la poblacion conocida</t>
  </si>
  <si>
    <t>σ</t>
  </si>
  <si>
    <t>Tamaño de lapoblacion desconocida</t>
  </si>
  <si>
    <t>UTILIZACION DE DATOS</t>
  </si>
  <si>
    <t>PRESENTACION DE DATOS</t>
  </si>
  <si>
    <t>HOJA DE VERIFICACION</t>
  </si>
  <si>
    <t>FECHA</t>
  </si>
  <si>
    <t>TURNO</t>
  </si>
  <si>
    <t>RESPONSABLE</t>
  </si>
  <si>
    <t>METRICO</t>
  </si>
  <si>
    <t>CRITERIO</t>
  </si>
  <si>
    <t>CONTEO</t>
  </si>
  <si>
    <t>FRECUENCIA</t>
  </si>
  <si>
    <t>ACUMULADO</t>
  </si>
  <si>
    <t>OBSERVACIONES</t>
  </si>
  <si>
    <t>EQUIPO DE MEDICION</t>
  </si>
  <si>
    <t>INSTRUCCIONES:</t>
  </si>
  <si>
    <t>PRODUCTO</t>
  </si>
  <si>
    <t>SIMBOLOS</t>
  </si>
  <si>
    <t>MUESTRA DATOS CUANTITATIVOS</t>
  </si>
  <si>
    <t>¿QUE ES LO QUE SE VA A CONTAR?</t>
  </si>
  <si>
    <t>TAMAÑO DE LA POBLACION (N)</t>
  </si>
  <si>
    <r>
      <t>NIVEL DE CONFIANZA (1-</t>
    </r>
    <r>
      <rPr>
        <sz val="11"/>
        <color theme="1"/>
        <rFont val="Calibri"/>
        <family val="2"/>
      </rPr>
      <t>α)</t>
    </r>
  </si>
  <si>
    <t xml:space="preserve">TAMAÑO DE LA MUESTRA </t>
  </si>
  <si>
    <t>MARGEN DE ERROR (E)</t>
  </si>
  <si>
    <t>PLAN DE MUESTREO DATOS CUALITATIVOS</t>
  </si>
  <si>
    <t>PLAN DE MUESTREO DATOS CUANTITATIVOS</t>
  </si>
  <si>
    <r>
      <t xml:space="preserve">DESVIACION ESTANDAR ESTIMADA (S o </t>
    </r>
    <r>
      <rPr>
        <sz val="11"/>
        <color theme="1"/>
        <rFont val="Calibri"/>
        <family val="2"/>
      </rPr>
      <t>σ)</t>
    </r>
  </si>
  <si>
    <t>YIELD</t>
  </si>
  <si>
    <t>PIEZAS BUENAS</t>
  </si>
  <si>
    <t>DEFECTOS</t>
  </si>
  <si>
    <t>PIEZAS MALAS</t>
  </si>
  <si>
    <t>PIEZAS TOTALES</t>
  </si>
  <si>
    <t>ROLLED THROUGHPUTH YIELD</t>
  </si>
  <si>
    <t>FIRST PASS YIELD</t>
  </si>
  <si>
    <t>Step</t>
  </si>
  <si>
    <t>Name</t>
  </si>
  <si>
    <t>In</t>
  </si>
  <si>
    <t>Defects</t>
  </si>
  <si>
    <t>Out</t>
  </si>
  <si>
    <t>Yield</t>
  </si>
  <si>
    <t>INICIO</t>
  </si>
  <si>
    <t>ESTACION 1</t>
  </si>
  <si>
    <t>ESTACION 2</t>
  </si>
  <si>
    <t>ESTACION 3</t>
  </si>
  <si>
    <t>ESTACION 4</t>
  </si>
  <si>
    <t>ESTACION 5</t>
  </si>
  <si>
    <t>ESTACION 6</t>
  </si>
  <si>
    <t>RTY</t>
  </si>
  <si>
    <t>FPY</t>
  </si>
  <si>
    <t xml:space="preserve">PIEZAS BIEN </t>
  </si>
  <si>
    <t>PIEZAS BIEN A LA PRIMERA</t>
  </si>
  <si>
    <t>DEFECTOS TOTAL</t>
  </si>
  <si>
    <t>RETRABAJOS TOTAL</t>
  </si>
  <si>
    <t>CATEGORIA</t>
  </si>
  <si>
    <t>% VALUE ADD TIME</t>
  </si>
  <si>
    <t>VA</t>
  </si>
  <si>
    <t>PROCESO:</t>
  </si>
  <si>
    <t>NVA</t>
  </si>
  <si>
    <t>ACTIVIDAD</t>
  </si>
  <si>
    <t xml:space="preserve">TIEMPO </t>
  </si>
  <si>
    <t>VALOR AGREGADO</t>
  </si>
  <si>
    <t>VALOR NO AGREGADO</t>
  </si>
  <si>
    <t>PARTS PER MILLION</t>
  </si>
  <si>
    <t>UNITS INSPECTED</t>
  </si>
  <si>
    <t>DEFECTS</t>
  </si>
  <si>
    <t>PASS</t>
  </si>
  <si>
    <t>% DEFECTS</t>
  </si>
  <si>
    <t>% PASS-YIELD</t>
  </si>
  <si>
    <t>PPM defective</t>
  </si>
  <si>
    <t>PPM PASS</t>
  </si>
  <si>
    <t>DEFECTS PER MILLION OPPORTUNITIES</t>
  </si>
  <si>
    <t>CATEGORIES</t>
  </si>
  <si>
    <t>DPMO</t>
  </si>
  <si>
    <t>RAYONES</t>
  </si>
  <si>
    <t>DEFORMACION</t>
  </si>
  <si>
    <t>EXCESO DE MATERIAL</t>
  </si>
  <si>
    <t>FALTA MATERIAL</t>
  </si>
  <si>
    <t>TOTAL DEFECTS</t>
  </si>
  <si>
    <t>UNITS</t>
  </si>
  <si>
    <t>TOTAL OPPORTUNITIES</t>
  </si>
  <si>
    <t>DEFECTS PER UNIT</t>
  </si>
  <si>
    <t>NO CONFORMANCIAS</t>
  </si>
  <si>
    <t>TOTAL INSPECCIONADAS</t>
  </si>
  <si>
    <t>DPU</t>
  </si>
  <si>
    <t>MEDIR</t>
  </si>
  <si>
    <t>DOCUMENTACION ESTADO ACTUAL DEL PROCESO</t>
  </si>
  <si>
    <t>SISTEMA DE MEDICION GR&amp;R</t>
  </si>
  <si>
    <t>BASE LINE - ESTADO ACTUAL</t>
  </si>
  <si>
    <t>MEDICIONN DE DATOS (DESEMPEÑO DEL PROCESO, HISTOGRAMAS, PARETOS, ETC)</t>
  </si>
  <si>
    <t>OBJETIVO SMART</t>
  </si>
  <si>
    <t>Criterio:</t>
  </si>
  <si>
    <t>Periodo</t>
  </si>
  <si>
    <t>GRAFICO SERIE DE TIEMPO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</si>
  <si>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</si>
  <si>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</si>
  <si>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</si>
  <si>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</si>
  <si>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</si>
  <si>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</si>
  <si>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</si>
  <si>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</si>
  <si>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</si>
  <si>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</si>
  <si>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</si>
  <si>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</si>
  <si>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QUE PROPORCION DE LA POBLACION SE ESTIMA QUE CONTIENE ESTA CARACTERISTICA. (P)</t>
  </si>
  <si>
    <t>Rework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</si>
</sst>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49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4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20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4"/>
      <name val="Arial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12"/>
      <name val="Arial"/>
      <family val="2"/>
    </font>
    <font>
      <sz val="14"/>
      <color rgb="FFFF000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59595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9" fillId="0" borderId="0"/>
    <xf numFmtId="9" fontId="19" fillId="0" borderId="0" applyFont="0" applyFill="0" applyBorder="0" applyAlignment="0" applyProtection="0"/>
  </cellStyleXfs>
  <cellXfs count="314">
    <xf numFmtId="0" fontId="0" fillId="0" borderId="0" xfId="0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0" xfId="0" applyFill="1"/>
    <xf numFmtId="0" fontId="0" fillId="5" borderId="12" xfId="0" applyFill="1" applyBorder="1"/>
    <xf numFmtId="0" fontId="0" fillId="5" borderId="14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0" xfId="0" applyFill="1" applyBorder="1"/>
    <xf numFmtId="0" fontId="4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9" fillId="6" borderId="0" xfId="1" applyFill="1"/>
    <xf numFmtId="0" fontId="9" fillId="6" borderId="0" xfId="1" applyFill="1" applyAlignment="1">
      <alignment horizontal="center" vertical="center"/>
    </xf>
    <xf numFmtId="0" fontId="13" fillId="6" borderId="0" xfId="1" applyFont="1" applyFill="1"/>
    <xf numFmtId="0" fontId="14" fillId="6" borderId="0" xfId="1" applyFont="1" applyFill="1" applyAlignment="1">
      <alignment horizontal="center" vertical="center"/>
    </xf>
    <xf numFmtId="0" fontId="11" fillId="6" borderId="11" xfId="1" applyFont="1" applyFill="1" applyBorder="1" applyAlignment="1">
      <alignment horizontal="center" vertical="center"/>
    </xf>
    <xf numFmtId="0" fontId="11" fillId="6" borderId="11" xfId="1" applyFont="1" applyFill="1" applyBorder="1" applyAlignment="1">
      <alignment horizontal="center"/>
    </xf>
    <xf numFmtId="0" fontId="11" fillId="6" borderId="6" xfId="1" applyFont="1" applyFill="1" applyBorder="1" applyAlignment="1">
      <alignment horizontal="center"/>
    </xf>
    <xf numFmtId="0" fontId="9" fillId="6" borderId="11" xfId="1" applyFill="1" applyBorder="1"/>
    <xf numFmtId="0" fontId="15" fillId="6" borderId="13" xfId="1" applyFont="1" applyFill="1" applyBorder="1" applyAlignment="1">
      <alignment horizontal="center" vertical="center"/>
    </xf>
    <xf numFmtId="0" fontId="16" fillId="6" borderId="13" xfId="1" applyFont="1" applyFill="1" applyBorder="1" applyAlignment="1">
      <alignment horizontal="center" vertical="center"/>
    </xf>
    <xf numFmtId="0" fontId="9" fillId="6" borderId="12" xfId="1" applyFill="1" applyBorder="1"/>
    <xf numFmtId="0" fontId="15" fillId="6" borderId="13" xfId="1" applyFont="1" applyFill="1" applyBorder="1" applyAlignment="1">
      <alignment horizontal="center" vertical="center" wrapText="1"/>
    </xf>
    <xf numFmtId="0" fontId="9" fillId="6" borderId="13" xfId="1" applyFill="1" applyBorder="1"/>
    <xf numFmtId="0" fontId="16" fillId="6" borderId="13" xfId="1" applyFont="1" applyFill="1" applyBorder="1" applyAlignment="1">
      <alignment horizontal="center" vertical="center" wrapText="1"/>
    </xf>
    <xf numFmtId="0" fontId="15" fillId="6" borderId="15" xfId="1" applyFont="1" applyFill="1" applyBorder="1" applyAlignment="1">
      <alignment horizontal="center" vertical="center"/>
    </xf>
    <xf numFmtId="0" fontId="15" fillId="6" borderId="15" xfId="1" applyFont="1" applyFill="1" applyBorder="1" applyAlignment="1">
      <alignment vertical="center" wrapText="1"/>
    </xf>
    <xf numFmtId="0" fontId="16" fillId="6" borderId="15" xfId="1" applyFont="1" applyFill="1" applyBorder="1" applyAlignment="1">
      <alignment horizontal="center" vertical="center" wrapText="1"/>
    </xf>
    <xf numFmtId="0" fontId="9" fillId="6" borderId="15" xfId="1" applyFill="1" applyBorder="1"/>
    <xf numFmtId="0" fontId="15" fillId="6" borderId="9" xfId="1" applyFont="1" applyFill="1" applyBorder="1" applyAlignment="1">
      <alignment horizontal="center" vertical="center" wrapText="1"/>
    </xf>
    <xf numFmtId="0" fontId="15" fillId="6" borderId="15" xfId="1" applyFont="1" applyFill="1" applyBorder="1" applyAlignment="1">
      <alignment horizontal="center" vertical="center" wrapText="1"/>
    </xf>
    <xf numFmtId="0" fontId="9" fillId="6" borderId="11" xfId="1" applyFill="1" applyBorder="1" applyAlignment="1">
      <alignment vertical="center"/>
    </xf>
    <xf numFmtId="0" fontId="15" fillId="6" borderId="11" xfId="1" applyFont="1" applyFill="1" applyBorder="1" applyAlignment="1">
      <alignment horizontal="center" vertical="center"/>
    </xf>
    <xf numFmtId="0" fontId="15" fillId="6" borderId="11" xfId="1" applyFont="1" applyFill="1" applyBorder="1" applyAlignment="1">
      <alignment horizontal="center" vertical="center" wrapText="1"/>
    </xf>
    <xf numFmtId="0" fontId="16" fillId="6" borderId="11" xfId="1" applyFont="1" applyFill="1" applyBorder="1" applyAlignment="1">
      <alignment horizontal="center" vertical="center"/>
    </xf>
    <xf numFmtId="0" fontId="9" fillId="6" borderId="6" xfId="1" applyFill="1" applyBorder="1"/>
    <xf numFmtId="0" fontId="15" fillId="6" borderId="13" xfId="1" applyFont="1" applyFill="1" applyBorder="1" applyAlignment="1">
      <alignment vertical="center" wrapText="1"/>
    </xf>
    <xf numFmtId="0" fontId="9" fillId="6" borderId="13" xfId="1" applyFill="1" applyBorder="1" applyAlignment="1">
      <alignment vertical="center"/>
    </xf>
    <xf numFmtId="0" fontId="15" fillId="6" borderId="12" xfId="1" applyFont="1" applyFill="1" applyBorder="1" applyAlignment="1">
      <alignment horizontal="center" vertical="center"/>
    </xf>
    <xf numFmtId="0" fontId="15" fillId="6" borderId="13" xfId="1" applyFont="1" applyFill="1" applyBorder="1"/>
    <xf numFmtId="0" fontId="15" fillId="6" borderId="6" xfId="1" applyFont="1" applyFill="1" applyBorder="1" applyAlignment="1">
      <alignment horizontal="center" vertical="center"/>
    </xf>
    <xf numFmtId="0" fontId="9" fillId="6" borderId="13" xfId="1" applyFill="1" applyBorder="1" applyAlignment="1">
      <alignment vertical="center" wrapText="1"/>
    </xf>
    <xf numFmtId="0" fontId="9" fillId="6" borderId="15" xfId="1" applyFill="1" applyBorder="1" applyAlignment="1">
      <alignment horizontal="center" vertical="center"/>
    </xf>
    <xf numFmtId="0" fontId="15" fillId="6" borderId="15" xfId="1" applyFont="1" applyFill="1" applyBorder="1"/>
    <xf numFmtId="0" fontId="16" fillId="6" borderId="15" xfId="1" applyFont="1" applyFill="1" applyBorder="1" applyAlignment="1">
      <alignment horizontal="center" vertical="center"/>
    </xf>
    <xf numFmtId="0" fontId="15" fillId="6" borderId="9" xfId="1" applyFont="1" applyFill="1" applyBorder="1" applyAlignment="1">
      <alignment horizontal="center" vertical="center"/>
    </xf>
    <xf numFmtId="0" fontId="15" fillId="6" borderId="11" xfId="1" applyFont="1" applyFill="1" applyBorder="1"/>
    <xf numFmtId="0" fontId="9" fillId="6" borderId="13" xfId="1" applyFill="1" applyBorder="1" applyAlignment="1">
      <alignment horizontal="center" vertical="center"/>
    </xf>
    <xf numFmtId="0" fontId="15" fillId="6" borderId="12" xfId="1" applyFont="1" applyFill="1" applyBorder="1"/>
    <xf numFmtId="0" fontId="9" fillId="6" borderId="11" xfId="1" applyFill="1" applyBorder="1" applyAlignment="1">
      <alignment horizontal="center" vertical="center"/>
    </xf>
    <xf numFmtId="0" fontId="9" fillId="6" borderId="13" xfId="1" applyFill="1" applyBorder="1" applyAlignment="1">
      <alignment horizontal="center" vertical="center" wrapText="1"/>
    </xf>
    <xf numFmtId="0" fontId="9" fillId="6" borderId="12" xfId="1" applyFill="1" applyBorder="1" applyAlignment="1">
      <alignment vertical="center" wrapText="1"/>
    </xf>
    <xf numFmtId="0" fontId="9" fillId="6" borderId="12" xfId="1" applyFill="1" applyBorder="1" applyAlignment="1">
      <alignment horizontal="center" vertical="center"/>
    </xf>
    <xf numFmtId="0" fontId="9" fillId="6" borderId="10" xfId="1" applyFill="1" applyBorder="1" applyAlignment="1">
      <alignment horizontal="center" vertical="center"/>
    </xf>
    <xf numFmtId="0" fontId="17" fillId="6" borderId="3" xfId="1" applyFont="1" applyFill="1" applyBorder="1" applyAlignment="1">
      <alignment horizontal="center"/>
    </xf>
    <xf numFmtId="0" fontId="9" fillId="6" borderId="0" xfId="1" applyFill="1" applyAlignment="1">
      <alignment horizontal="left" vertical="center"/>
    </xf>
    <xf numFmtId="0" fontId="3" fillId="3" borderId="10" xfId="0" applyFont="1" applyFill="1" applyBorder="1" applyAlignment="1">
      <alignment horizontal="center" vertical="center" wrapText="1"/>
    </xf>
    <xf numFmtId="0" fontId="14" fillId="3" borderId="10" xfId="1" applyFont="1" applyFill="1" applyBorder="1" applyAlignment="1">
      <alignment horizontal="center" vertical="center" wrapText="1"/>
    </xf>
    <xf numFmtId="0" fontId="14" fillId="3" borderId="1" xfId="1" applyFont="1" applyFill="1" applyBorder="1" applyAlignment="1">
      <alignment horizontal="center" vertical="center" wrapText="1"/>
    </xf>
    <xf numFmtId="0" fontId="12" fillId="3" borderId="10" xfId="1" applyFont="1" applyFill="1" applyBorder="1" applyAlignment="1">
      <alignment horizontal="center" vertical="center" wrapText="1"/>
    </xf>
    <xf numFmtId="0" fontId="9" fillId="6" borderId="9" xfId="1" applyFill="1" applyBorder="1" applyAlignment="1">
      <alignment horizontal="center" vertical="center"/>
    </xf>
    <xf numFmtId="0" fontId="9" fillId="6" borderId="10" xfId="1" applyFill="1" applyBorder="1" applyAlignment="1">
      <alignment horizontal="center"/>
    </xf>
    <xf numFmtId="0" fontId="15" fillId="6" borderId="13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6" xfId="0" applyBorder="1"/>
    <xf numFmtId="9" fontId="0" fillId="0" borderId="16" xfId="0" applyNumberFormat="1" applyBorder="1" applyAlignment="1">
      <alignment horizontal="center"/>
    </xf>
    <xf numFmtId="0" fontId="0" fillId="0" borderId="16" xfId="0" applyNumberFormat="1" applyBorder="1" applyAlignment="1">
      <alignment horizontal="center"/>
    </xf>
    <xf numFmtId="0" fontId="22" fillId="4" borderId="16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 wrapText="1"/>
    </xf>
    <xf numFmtId="0" fontId="25" fillId="0" borderId="16" xfId="0" applyFont="1" applyBorder="1" applyAlignment="1">
      <alignment horizontal="center"/>
    </xf>
    <xf numFmtId="9" fontId="0" fillId="0" borderId="16" xfId="2" applyFont="1" applyBorder="1" applyAlignment="1">
      <alignment horizontal="center"/>
    </xf>
    <xf numFmtId="9" fontId="0" fillId="0" borderId="0" xfId="2" applyFont="1"/>
    <xf numFmtId="10" fontId="0" fillId="0" borderId="16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2" borderId="16" xfId="0" applyFill="1" applyBorder="1"/>
    <xf numFmtId="0" fontId="0" fillId="2" borderId="16" xfId="0" applyFill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0" fillId="0" borderId="16" xfId="2" applyNumberFormat="1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22" fillId="3" borderId="16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16" xfId="0" applyFill="1" applyBorder="1" applyAlignment="1"/>
    <xf numFmtId="0" fontId="0" fillId="5" borderId="16" xfId="0" applyFill="1" applyBorder="1" applyAlignment="1"/>
    <xf numFmtId="0" fontId="0" fillId="2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 wrapText="1"/>
    </xf>
    <xf numFmtId="0" fontId="0" fillId="0" borderId="16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2" fillId="0" borderId="16" xfId="0" applyFont="1" applyBorder="1"/>
    <xf numFmtId="0" fontId="32" fillId="0" borderId="16" xfId="0" applyFont="1" applyBorder="1" applyAlignment="1">
      <alignment horizontal="center" vertical="center"/>
    </xf>
    <xf numFmtId="9" fontId="32" fillId="0" borderId="16" xfId="2" applyFont="1" applyBorder="1" applyAlignment="1">
      <alignment horizontal="center"/>
    </xf>
    <xf numFmtId="0" fontId="9" fillId="5" borderId="0" xfId="1" applyFill="1"/>
    <xf numFmtId="0" fontId="35" fillId="2" borderId="16" xfId="1" applyFont="1" applyFill="1" applyBorder="1" applyAlignment="1">
      <alignment horizontal="center" vertical="top" wrapText="1"/>
    </xf>
    <xf numFmtId="0" fontId="35" fillId="2" borderId="19" xfId="1" applyFont="1" applyFill="1" applyBorder="1" applyAlignment="1">
      <alignment horizontal="center" vertical="top" wrapText="1"/>
    </xf>
    <xf numFmtId="0" fontId="36" fillId="2" borderId="18" xfId="1" applyFont="1" applyFill="1" applyBorder="1" applyAlignment="1">
      <alignment horizontal="center" vertical="center" wrapText="1"/>
    </xf>
    <xf numFmtId="0" fontId="36" fillId="2" borderId="19" xfId="1" applyFont="1" applyFill="1" applyBorder="1" applyAlignment="1">
      <alignment horizontal="center" vertical="center" wrapText="1"/>
    </xf>
    <xf numFmtId="0" fontId="37" fillId="5" borderId="21" xfId="1" applyFont="1" applyFill="1" applyBorder="1" applyAlignment="1">
      <alignment horizontal="center" vertical="center" wrapText="1"/>
    </xf>
    <xf numFmtId="0" fontId="37" fillId="5" borderId="25" xfId="1" applyFont="1" applyFill="1" applyBorder="1" applyAlignment="1">
      <alignment horizontal="center" vertical="center" wrapText="1"/>
    </xf>
    <xf numFmtId="3" fontId="37" fillId="5" borderId="25" xfId="1" applyNumberFormat="1" applyFont="1" applyFill="1" applyBorder="1" applyAlignment="1">
      <alignment horizontal="center" vertical="center" wrapText="1"/>
    </xf>
    <xf numFmtId="0" fontId="37" fillId="5" borderId="16" xfId="1" applyFont="1" applyFill="1" applyBorder="1" applyAlignment="1">
      <alignment horizontal="center" vertical="center"/>
    </xf>
    <xf numFmtId="0" fontId="40" fillId="2" borderId="16" xfId="1" applyFont="1" applyFill="1" applyBorder="1" applyAlignment="1">
      <alignment horizontal="left" vertical="center"/>
    </xf>
    <xf numFmtId="3" fontId="41" fillId="5" borderId="16" xfId="1" applyNumberFormat="1" applyFont="1" applyFill="1" applyBorder="1" applyAlignment="1">
      <alignment horizontal="center"/>
    </xf>
    <xf numFmtId="0" fontId="40" fillId="2" borderId="16" xfId="1" applyFont="1" applyFill="1" applyBorder="1"/>
    <xf numFmtId="0" fontId="41" fillId="5" borderId="16" xfId="1" applyFont="1" applyFill="1" applyBorder="1" applyAlignment="1">
      <alignment horizontal="center"/>
    </xf>
    <xf numFmtId="0" fontId="0" fillId="0" borderId="0" xfId="0" applyAlignment="1">
      <alignment vertical="center"/>
    </xf>
    <xf numFmtId="10" fontId="43" fillId="0" borderId="16" xfId="2" applyNumberFormat="1" applyFont="1" applyBorder="1" applyAlignment="1">
      <alignment horizontal="center"/>
    </xf>
    <xf numFmtId="9" fontId="43" fillId="0" borderId="16" xfId="2" applyFont="1" applyBorder="1" applyAlignment="1">
      <alignment horizontal="center"/>
    </xf>
    <xf numFmtId="0" fontId="23" fillId="0" borderId="16" xfId="0" applyFont="1" applyBorder="1"/>
    <xf numFmtId="10" fontId="23" fillId="0" borderId="16" xfId="2" applyNumberFormat="1" applyFont="1" applyBorder="1"/>
    <xf numFmtId="0" fontId="0" fillId="2" borderId="17" xfId="0" applyFill="1" applyBorder="1"/>
    <xf numFmtId="0" fontId="0" fillId="2" borderId="28" xfId="0" applyFill="1" applyBorder="1"/>
    <xf numFmtId="0" fontId="0" fillId="2" borderId="25" xfId="0" applyFill="1" applyBorder="1"/>
    <xf numFmtId="0" fontId="0" fillId="2" borderId="21" xfId="0" applyFill="1" applyBorder="1"/>
    <xf numFmtId="0" fontId="0" fillId="2" borderId="26" xfId="0" applyFill="1" applyBorder="1" applyAlignment="1">
      <alignment vertical="center"/>
    </xf>
    <xf numFmtId="0" fontId="0" fillId="0" borderId="19" xfId="0" applyBorder="1"/>
    <xf numFmtId="0" fontId="0" fillId="0" borderId="17" xfId="0" applyBorder="1"/>
    <xf numFmtId="9" fontId="43" fillId="0" borderId="16" xfId="2" applyFont="1" applyBorder="1"/>
    <xf numFmtId="10" fontId="43" fillId="0" borderId="16" xfId="2" applyNumberFormat="1" applyFont="1" applyBorder="1"/>
    <xf numFmtId="0" fontId="4" fillId="2" borderId="16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3" xfId="0" applyBorder="1"/>
    <xf numFmtId="0" fontId="0" fillId="0" borderId="22" xfId="0" applyBorder="1"/>
    <xf numFmtId="0" fontId="46" fillId="0" borderId="28" xfId="0" applyFont="1" applyBorder="1"/>
    <xf numFmtId="0" fontId="46" fillId="0" borderId="30" xfId="0" applyFont="1" applyBorder="1"/>
    <xf numFmtId="0" fontId="46" fillId="0" borderId="26" xfId="0" applyFont="1" applyBorder="1"/>
    <xf numFmtId="0" fontId="4" fillId="0" borderId="16" xfId="0" applyFont="1" applyBorder="1" applyAlignment="1">
      <alignment horizontal="center"/>
    </xf>
    <xf numFmtId="0" fontId="45" fillId="0" borderId="16" xfId="0" applyFont="1" applyBorder="1" applyAlignment="1">
      <alignment horizontal="center"/>
    </xf>
    <xf numFmtId="10" fontId="37" fillId="5" borderId="27" xfId="2" applyNumberFormat="1" applyFont="1" applyFill="1" applyBorder="1" applyAlignment="1">
      <alignment horizontal="center" vertical="center" wrapText="1"/>
    </xf>
    <xf numFmtId="10" fontId="37" fillId="5" borderId="25" xfId="2" applyNumberFormat="1" applyFont="1" applyFill="1" applyBorder="1" applyAlignment="1">
      <alignment horizontal="center" vertical="center" wrapText="1"/>
    </xf>
    <xf numFmtId="0" fontId="0" fillId="0" borderId="28" xfId="0" applyFill="1" applyBorder="1"/>
    <xf numFmtId="0" fontId="0" fillId="0" borderId="21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20" xfId="0" applyBorder="1" applyAlignment="1">
      <alignment wrapText="1"/>
    </xf>
    <xf numFmtId="0" fontId="0" fillId="2" borderId="16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16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17" fontId="0" fillId="5" borderId="16" xfId="0" applyNumberFormat="1" applyFill="1" applyBorder="1" applyAlignment="1">
      <alignment horizontal="center"/>
    </xf>
    <xf numFmtId="0" fontId="0" fillId="5" borderId="16" xfId="2" applyNumberFormat="1" applyFont="1" applyFill="1" applyBorder="1"/>
    <xf numFmtId="0" fontId="0" fillId="5" borderId="16" xfId="0" applyNumberFormat="1" applyFill="1" applyBorder="1"/>
    <xf numFmtId="0" fontId="48" fillId="0" borderId="0" xfId="0" applyFont="1" applyAlignment="1">
      <alignment horizontal="center" vertical="center" readingOrder="1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9" fillId="6" borderId="13" xfId="1" applyFill="1" applyBorder="1" applyAlignment="1">
      <alignment horizontal="center" wrapText="1"/>
    </xf>
    <xf numFmtId="0" fontId="15" fillId="6" borderId="13" xfId="1" applyFont="1" applyFill="1" applyBorder="1" applyAlignment="1">
      <alignment horizontal="center" vertical="center" wrapText="1"/>
    </xf>
    <xf numFmtId="0" fontId="9" fillId="6" borderId="13" xfId="1" applyFill="1" applyBorder="1" applyAlignment="1">
      <alignment horizontal="center" vertical="center" wrapText="1"/>
    </xf>
    <xf numFmtId="0" fontId="9" fillId="6" borderId="4" xfId="1" applyFill="1" applyBorder="1" applyAlignment="1">
      <alignment horizontal="center"/>
    </xf>
    <xf numFmtId="0" fontId="9" fillId="6" borderId="6" xfId="1" applyFill="1" applyBorder="1" applyAlignment="1">
      <alignment horizontal="center"/>
    </xf>
    <xf numFmtId="0" fontId="9" fillId="6" borderId="14" xfId="1" applyFill="1" applyBorder="1" applyAlignment="1">
      <alignment horizontal="center"/>
    </xf>
    <xf numFmtId="0" fontId="9" fillId="6" borderId="12" xfId="1" applyFill="1" applyBorder="1" applyAlignment="1">
      <alignment horizontal="center"/>
    </xf>
    <xf numFmtId="0" fontId="9" fillId="6" borderId="0" xfId="1" applyFill="1" applyBorder="1" applyAlignment="1">
      <alignment horizontal="center"/>
    </xf>
    <xf numFmtId="0" fontId="9" fillId="6" borderId="1" xfId="1" applyFill="1" applyBorder="1" applyAlignment="1">
      <alignment horizontal="center" vertical="center"/>
    </xf>
    <xf numFmtId="0" fontId="9" fillId="6" borderId="2" xfId="1" applyFill="1" applyBorder="1" applyAlignment="1">
      <alignment horizontal="center" vertical="center"/>
    </xf>
    <xf numFmtId="0" fontId="9" fillId="6" borderId="3" xfId="1" applyFill="1" applyBorder="1" applyAlignment="1">
      <alignment horizontal="center" vertical="center"/>
    </xf>
    <xf numFmtId="0" fontId="9" fillId="6" borderId="13" xfId="1" applyFill="1" applyBorder="1" applyAlignment="1">
      <alignment horizontal="center" vertical="center"/>
    </xf>
    <xf numFmtId="0" fontId="9" fillId="6" borderId="11" xfId="1" applyFill="1" applyBorder="1" applyAlignment="1">
      <alignment horizontal="center" vertical="center"/>
    </xf>
    <xf numFmtId="0" fontId="9" fillId="6" borderId="13" xfId="1" applyFill="1" applyBorder="1" applyAlignment="1">
      <alignment horizontal="center"/>
    </xf>
    <xf numFmtId="0" fontId="9" fillId="6" borderId="11" xfId="1" applyFill="1" applyBorder="1" applyAlignment="1">
      <alignment horizontal="center" vertical="center" wrapText="1"/>
    </xf>
    <xf numFmtId="0" fontId="15" fillId="6" borderId="11" xfId="1" applyFont="1" applyFill="1" applyBorder="1" applyAlignment="1">
      <alignment horizontal="center" vertical="center" wrapText="1"/>
    </xf>
    <xf numFmtId="0" fontId="9" fillId="6" borderId="15" xfId="1" applyFill="1" applyBorder="1" applyAlignment="1">
      <alignment horizontal="center" vertical="center" wrapText="1"/>
    </xf>
    <xf numFmtId="0" fontId="10" fillId="7" borderId="1" xfId="1" applyFont="1" applyFill="1" applyBorder="1" applyAlignment="1">
      <alignment horizontal="center" vertical="center"/>
    </xf>
    <xf numFmtId="0" fontId="10" fillId="7" borderId="2" xfId="1" applyFont="1" applyFill="1" applyBorder="1" applyAlignment="1">
      <alignment horizontal="center" vertical="center"/>
    </xf>
    <xf numFmtId="0" fontId="10" fillId="7" borderId="3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/>
    </xf>
    <xf numFmtId="0" fontId="12" fillId="6" borderId="1" xfId="1" applyFont="1" applyFill="1" applyBorder="1" applyAlignment="1">
      <alignment horizontal="center" vertical="center"/>
    </xf>
    <xf numFmtId="0" fontId="12" fillId="6" borderId="2" xfId="1" applyFont="1" applyFill="1" applyBorder="1" applyAlignment="1">
      <alignment horizontal="center" vertical="center"/>
    </xf>
    <xf numFmtId="0" fontId="12" fillId="6" borderId="3" xfId="1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center" vertical="center"/>
    </xf>
    <xf numFmtId="0" fontId="12" fillId="4" borderId="2" xfId="1" applyFont="1" applyFill="1" applyBorder="1" applyAlignment="1">
      <alignment horizontal="center" vertical="center"/>
    </xf>
    <xf numFmtId="0" fontId="12" fillId="4" borderId="3" xfId="1" applyFont="1" applyFill="1" applyBorder="1" applyAlignment="1">
      <alignment horizontal="center" vertical="center"/>
    </xf>
    <xf numFmtId="0" fontId="14" fillId="3" borderId="1" xfId="1" applyFont="1" applyFill="1" applyBorder="1" applyAlignment="1">
      <alignment horizontal="center" vertical="center" wrapText="1"/>
    </xf>
    <xf numFmtId="0" fontId="14" fillId="3" borderId="3" xfId="1" applyFont="1" applyFill="1" applyBorder="1" applyAlignment="1">
      <alignment horizontal="center" vertical="center" wrapText="1"/>
    </xf>
    <xf numFmtId="0" fontId="20" fillId="4" borderId="16" xfId="0" applyFont="1" applyFill="1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6" xfId="0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1" fontId="28" fillId="0" borderId="16" xfId="0" applyNumberFormat="1" applyFont="1" applyBorder="1" applyAlignment="1">
      <alignment horizontal="center" vertical="center"/>
    </xf>
    <xf numFmtId="1" fontId="28" fillId="0" borderId="20" xfId="0" applyNumberFormat="1" applyFont="1" applyBorder="1" applyAlignment="1">
      <alignment horizontal="center" vertical="center"/>
    </xf>
    <xf numFmtId="1" fontId="28" fillId="0" borderId="21" xfId="0" applyNumberFormat="1" applyFont="1" applyBorder="1" applyAlignment="1">
      <alignment horizontal="center" vertical="center"/>
    </xf>
    <xf numFmtId="0" fontId="29" fillId="4" borderId="16" xfId="0" applyFont="1" applyFill="1" applyBorder="1" applyAlignment="1">
      <alignment horizontal="center"/>
    </xf>
    <xf numFmtId="0" fontId="0" fillId="3" borderId="16" xfId="0" applyFill="1" applyBorder="1" applyAlignment="1">
      <alignment horizontal="left" vertical="top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9" borderId="16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29" fillId="2" borderId="16" xfId="0" applyFont="1" applyFill="1" applyBorder="1" applyAlignment="1">
      <alignment horizontal="center"/>
    </xf>
    <xf numFmtId="0" fontId="31" fillId="4" borderId="16" xfId="0" applyFont="1" applyFill="1" applyBorder="1" applyAlignment="1">
      <alignment horizontal="center" vertic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 vertical="center"/>
    </xf>
    <xf numFmtId="9" fontId="33" fillId="10" borderId="16" xfId="2" applyFont="1" applyFill="1" applyBorder="1" applyAlignment="1">
      <alignment horizontal="center" vertical="center"/>
    </xf>
    <xf numFmtId="0" fontId="40" fillId="2" borderId="16" xfId="1" applyFont="1" applyFill="1" applyBorder="1" applyAlignment="1">
      <alignment horizontal="center" vertical="center"/>
    </xf>
    <xf numFmtId="3" fontId="41" fillId="5" borderId="16" xfId="1" applyNumberFormat="1" applyFont="1" applyFill="1" applyBorder="1" applyAlignment="1">
      <alignment horizontal="center" vertical="center"/>
    </xf>
    <xf numFmtId="0" fontId="34" fillId="4" borderId="26" xfId="1" applyFont="1" applyFill="1" applyBorder="1" applyAlignment="1">
      <alignment horizontal="center" vertical="center"/>
    </xf>
    <xf numFmtId="0" fontId="34" fillId="4" borderId="0" xfId="1" applyFont="1" applyFill="1" applyAlignment="1">
      <alignment horizontal="center" vertical="center"/>
    </xf>
    <xf numFmtId="0" fontId="34" fillId="4" borderId="24" xfId="1" applyFont="1" applyFill="1" applyBorder="1" applyAlignment="1">
      <alignment horizontal="center" vertical="center"/>
    </xf>
    <xf numFmtId="0" fontId="34" fillId="4" borderId="27" xfId="1" applyFont="1" applyFill="1" applyBorder="1" applyAlignment="1">
      <alignment horizontal="center" vertical="center"/>
    </xf>
    <xf numFmtId="0" fontId="9" fillId="5" borderId="20" xfId="1" applyFill="1" applyBorder="1" applyAlignment="1">
      <alignment horizontal="center"/>
    </xf>
    <xf numFmtId="0" fontId="9" fillId="5" borderId="28" xfId="1" applyFill="1" applyBorder="1" applyAlignment="1">
      <alignment horizontal="center"/>
    </xf>
    <xf numFmtId="0" fontId="9" fillId="5" borderId="21" xfId="1" applyFill="1" applyBorder="1" applyAlignment="1">
      <alignment horizontal="center"/>
    </xf>
    <xf numFmtId="0" fontId="37" fillId="5" borderId="16" xfId="1" applyFont="1" applyFill="1" applyBorder="1" applyAlignment="1">
      <alignment horizontal="center" vertical="center" wrapText="1"/>
    </xf>
    <xf numFmtId="0" fontId="37" fillId="5" borderId="17" xfId="1" applyFont="1" applyFill="1" applyBorder="1" applyAlignment="1">
      <alignment horizontal="center" vertical="center" wrapText="1"/>
    </xf>
    <xf numFmtId="0" fontId="9" fillId="5" borderId="19" xfId="1" applyFill="1" applyBorder="1" applyAlignment="1">
      <alignment horizontal="center"/>
    </xf>
    <xf numFmtId="0" fontId="9" fillId="5" borderId="16" xfId="1" applyFill="1" applyBorder="1" applyAlignment="1">
      <alignment horizontal="center"/>
    </xf>
    <xf numFmtId="0" fontId="38" fillId="4" borderId="16" xfId="1" applyFont="1" applyFill="1" applyBorder="1" applyAlignment="1">
      <alignment horizontal="center" vertical="center"/>
    </xf>
    <xf numFmtId="10" fontId="39" fillId="5" borderId="17" xfId="2" applyNumberFormat="1" applyFont="1" applyFill="1" applyBorder="1" applyAlignment="1">
      <alignment horizontal="center" vertical="center"/>
    </xf>
    <xf numFmtId="10" fontId="39" fillId="5" borderId="16" xfId="2" applyNumberFormat="1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/>
    </xf>
    <xf numFmtId="0" fontId="42" fillId="4" borderId="16" xfId="0" applyFont="1" applyFill="1" applyBorder="1" applyAlignment="1">
      <alignment horizontal="center"/>
    </xf>
    <xf numFmtId="0" fontId="44" fillId="4" borderId="16" xfId="0" applyFont="1" applyFill="1" applyBorder="1" applyAlignment="1">
      <alignment horizontal="center"/>
    </xf>
    <xf numFmtId="2" fontId="45" fillId="0" borderId="16" xfId="0" applyNumberFormat="1" applyFont="1" applyBorder="1" applyAlignment="1">
      <alignment horizontal="center"/>
    </xf>
    <xf numFmtId="0" fontId="21" fillId="4" borderId="16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21" fillId="4" borderId="16" xfId="0" applyFont="1" applyFill="1" applyBorder="1" applyAlignment="1">
      <alignment horizontal="center"/>
    </xf>
    <xf numFmtId="0" fontId="22" fillId="5" borderId="16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47" fillId="2" borderId="17" xfId="0" applyFont="1" applyFill="1" applyBorder="1" applyAlignment="1">
      <alignment horizontal="center" vertical="center" wrapText="1"/>
    </xf>
    <xf numFmtId="0" fontId="47" fillId="2" borderId="18" xfId="0" applyFont="1" applyFill="1" applyBorder="1" applyAlignment="1">
      <alignment horizontal="center" vertical="center" wrapText="1"/>
    </xf>
    <xf numFmtId="0" fontId="47" fillId="2" borderId="19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21" fillId="7" borderId="16" xfId="0" applyFont="1" applyFill="1" applyBorder="1" applyAlignment="1">
      <alignment horizontal="center" vertical="center"/>
    </xf>
    <xf numFmtId="0" fontId="0" fillId="5" borderId="23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1" fillId="7" borderId="16" xfId="0" applyFont="1" applyFill="1" applyBorder="1" applyAlignment="1">
      <alignment horizontal="center"/>
    </xf>
    <xf numFmtId="0" fontId="30" fillId="7" borderId="16" xfId="0" applyFont="1" applyFill="1" applyBorder="1" applyAlignment="1">
      <alignment horizontal="center"/>
    </xf>
    <xf numFmtId="0" fontId="32" fillId="7" borderId="16" xfId="0" applyFont="1" applyFill="1" applyBorder="1" applyAlignment="1">
      <alignment horizontal="center"/>
    </xf>
    <xf numFmtId="0" fontId="44" fillId="7" borderId="16" xfId="0" applyFont="1" applyFill="1" applyBorder="1" applyAlignment="1">
      <alignment horizontal="center"/>
    </xf>
  </cellXfs>
  <cellStyles count="3">
    <cellStyle name="Normal" xfId="0" builtinId="0"/>
    <cellStyle name="Normal 2" xfId="1" xr:uid="{88C38F93-F4E9-4CBF-9DFF-4DBA9144B669}"/>
    <cellStyle name="Porcentaje" xfId="2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border diagonalUp="0" diagonalDown="0" outline="0">
        <left/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2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21" Type="http://schemas.openxmlformats.org/officeDocument/2006/relationships/externalLink" Target="externalLinks/externalLink4.xml"/><Relationship Id="rId34" Type="http://schemas.openxmlformats.org/officeDocument/2006/relationships/externalLink" Target="externalLinks/externalLink1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Agregar</a:t>
            </a:r>
            <a:r>
              <a:rPr lang="en-US" baseline="0"/>
              <a:t> titulo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 Serie de tiempo'!$C$4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 Serie de tiempo'!$B$5:$B$17</c:f>
              <c:strCache>
                <c:ptCount val="1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ENERO</c:v>
                </c:pt>
              </c:strCache>
            </c:strRef>
          </c:cat>
          <c:val>
            <c:numRef>
              <c:f>'Grafico Serie de tiempo'!$C$5:$C$17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8-42DB-9A2F-EA81D15CAF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2601600"/>
        <c:axId val="1872609920"/>
      </c:lineChart>
      <c:catAx>
        <c:axId val="1872601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09920"/>
        <c:crosses val="autoZero"/>
        <c:auto val="1"/>
        <c:lblAlgn val="ctr"/>
        <c:lblOffset val="100"/>
        <c:noMultiLvlLbl val="0"/>
      </c:catAx>
      <c:valAx>
        <c:axId val="187260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0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chart" Target="../charts/chart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582985</xdr:colOff>
      <xdr:row>6</xdr:row>
      <xdr:rowOff>110876</xdr:rowOff>
    </xdr:from>
    <xdr:to>
      <xdr:col>6</xdr:col>
      <xdr:colOff>602687</xdr:colOff>
      <xdr:row>10</xdr:row>
      <xdr:rowOff>29062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11835" y="1739651"/>
          <a:ext cx="2458102" cy="680186"/>
        </a:xfrm>
        <a:prstGeom prst="flowChartTermina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Start/End</a:t>
          </a:r>
        </a:p>
      </xdr:txBody>
    </xdr:sp>
    <xdr:clientData/>
  </xdr:twoCellAnchor>
  <xdr:twoCellAnchor>
    <xdr:from>
      <xdr:col>14</xdr:col>
      <xdr:colOff>43464</xdr:colOff>
      <xdr:row>6</xdr:row>
      <xdr:rowOff>84572</xdr:rowOff>
    </xdr:from>
    <xdr:to>
      <xdr:col>16</xdr:col>
      <xdr:colOff>595312</xdr:colOff>
      <xdr:row>10</xdr:row>
      <xdr:rowOff>101014</xdr:rowOff>
    </xdr:to>
    <xdr:sp macro="" textlink="">
      <xdr:nvSpPr>
        <xdr:cNvPr id="4" name="Flowchart: Document 1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587514" y="1713347"/>
          <a:ext cx="1771048" cy="778442"/>
        </a:xfrm>
        <a:prstGeom prst="flowChartDocumen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900"/>
        </a:p>
        <a:p>
          <a:pPr algn="ctr"/>
          <a:r>
            <a:rPr lang="en-US" sz="1200"/>
            <a:t>Format</a:t>
          </a:r>
          <a:endParaRPr lang="en-US" sz="900"/>
        </a:p>
      </xdr:txBody>
    </xdr:sp>
    <xdr:clientData/>
  </xdr:twoCellAnchor>
  <xdr:twoCellAnchor>
    <xdr:from>
      <xdr:col>18</xdr:col>
      <xdr:colOff>416243</xdr:colOff>
      <xdr:row>6</xdr:row>
      <xdr:rowOff>87755</xdr:rowOff>
    </xdr:from>
    <xdr:to>
      <xdr:col>22</xdr:col>
      <xdr:colOff>70037</xdr:colOff>
      <xdr:row>10</xdr:row>
      <xdr:rowOff>68103</xdr:rowOff>
    </xdr:to>
    <xdr:sp macro="" textlink="">
      <xdr:nvSpPr>
        <xdr:cNvPr id="5" name="Flowchart: Decision 2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2398693" y="1716530"/>
          <a:ext cx="2092194" cy="742348"/>
        </a:xfrm>
        <a:prstGeom prst="flowChartDecision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Decision</a:t>
          </a:r>
        </a:p>
      </xdr:txBody>
    </xdr:sp>
    <xdr:clientData/>
  </xdr:twoCellAnchor>
  <xdr:twoCellAnchor>
    <xdr:from>
      <xdr:col>29</xdr:col>
      <xdr:colOff>175445</xdr:colOff>
      <xdr:row>8</xdr:row>
      <xdr:rowOff>42022</xdr:rowOff>
    </xdr:from>
    <xdr:to>
      <xdr:col>31</xdr:col>
      <xdr:colOff>602316</xdr:colOff>
      <xdr:row>8</xdr:row>
      <xdr:rowOff>42319</xdr:rowOff>
    </xdr:to>
    <xdr:cxnSp macro="">
      <xdr:nvCxnSpPr>
        <xdr:cNvPr id="6" name="Straight Connector 4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18863495" y="2051797"/>
          <a:ext cx="1646071" cy="29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532280</xdr:colOff>
      <xdr:row>8</xdr:row>
      <xdr:rowOff>70037</xdr:rowOff>
    </xdr:from>
    <xdr:to>
      <xdr:col>27</xdr:col>
      <xdr:colOff>70037</xdr:colOff>
      <xdr:row>8</xdr:row>
      <xdr:rowOff>70037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5562730" y="2079812"/>
          <a:ext cx="197615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10293</xdr:colOff>
      <xdr:row>6</xdr:row>
      <xdr:rowOff>82116</xdr:rowOff>
    </xdr:from>
    <xdr:to>
      <xdr:col>12</xdr:col>
      <xdr:colOff>41274</xdr:colOff>
      <xdr:row>10</xdr:row>
      <xdr:rowOff>105777</xdr:rowOff>
    </xdr:to>
    <xdr:sp macro="" textlink="">
      <xdr:nvSpPr>
        <xdr:cNvPr id="9" name="Flowchart: Process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55543" y="1733116"/>
          <a:ext cx="1840731" cy="785661"/>
        </a:xfrm>
        <a:prstGeom prst="flowChartProces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Process</a:t>
          </a:r>
        </a:p>
      </xdr:txBody>
    </xdr:sp>
    <xdr:clientData/>
  </xdr:twoCellAnchor>
  <xdr:twoCellAnchor editAs="oneCell">
    <xdr:from>
      <xdr:col>33</xdr:col>
      <xdr:colOff>15875</xdr:colOff>
      <xdr:row>0</xdr:row>
      <xdr:rowOff>190500</xdr:rowOff>
    </xdr:from>
    <xdr:to>
      <xdr:col>36</xdr:col>
      <xdr:colOff>212725</xdr:colOff>
      <xdr:row>4</xdr:row>
      <xdr:rowOff>161925</xdr:rowOff>
    </xdr:to>
    <xdr:pic>
      <xdr:nvPicPr>
        <xdr:cNvPr id="8" name="Imagen 7" descr="Logotipo&#10;&#10;Descripción generada automáticament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20939125" y="190500"/>
          <a:ext cx="2006600" cy="1066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149412</xdr:rowOff>
    </xdr:from>
    <xdr:to>
      <xdr:col>17</xdr:col>
      <xdr:colOff>531158</xdr:colOff>
      <xdr:row>4</xdr:row>
      <xdr:rowOff>151653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21048382" y="149412"/>
          <a:ext cx="20066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9525</xdr:rowOff>
    </xdr:from>
    <xdr:to>
      <xdr:col>7</xdr:col>
      <xdr:colOff>685800</xdr:colOff>
      <xdr:row>3</xdr:row>
      <xdr:rowOff>104775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6038850" y="9525"/>
          <a:ext cx="1447800" cy="714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0</xdr:rowOff>
    </xdr:from>
    <xdr:to>
      <xdr:col>3</xdr:col>
      <xdr:colOff>638175</xdr:colOff>
      <xdr:row>3</xdr:row>
      <xdr:rowOff>19050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4943475" y="0"/>
          <a:ext cx="1390650" cy="7143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419100</xdr:colOff>
      <xdr:row>3</xdr:row>
      <xdr:rowOff>170727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4810125" y="190500"/>
          <a:ext cx="1181100" cy="6279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3</xdr:col>
      <xdr:colOff>695325</xdr:colOff>
      <xdr:row>3</xdr:row>
      <xdr:rowOff>85725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5286375" y="0"/>
          <a:ext cx="1457325" cy="704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9526</xdr:colOff>
      <xdr:row>1</xdr:row>
      <xdr:rowOff>0</xdr:rowOff>
    </xdr:from>
    <xdr:to>
      <xdr:col>7</xdr:col>
      <xdr:colOff>466726</xdr:colOff>
      <xdr:row>2</xdr:row>
      <xdr:rowOff>333375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4895851" y="190500"/>
          <a:ext cx="1219200" cy="571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5</xdr:row>
      <xdr:rowOff>25199</xdr:rowOff>
    </xdr:from>
    <xdr:to>
      <xdr:col>5</xdr:col>
      <xdr:colOff>1123950</xdr:colOff>
      <xdr:row>5</xdr:row>
      <xdr:rowOff>561975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4819650" y="796724"/>
          <a:ext cx="1009650" cy="536776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5</xdr:row>
      <xdr:rowOff>28575</xdr:rowOff>
    </xdr:from>
    <xdr:to>
      <xdr:col>11</xdr:col>
      <xdr:colOff>1225550</xdr:colOff>
      <xdr:row>5</xdr:row>
      <xdr:rowOff>566557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1001375" y="800100"/>
          <a:ext cx="1054100" cy="53798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10583</xdr:rowOff>
    </xdr:from>
    <xdr:to>
      <xdr:col>10</xdr:col>
      <xdr:colOff>482600</xdr:colOff>
      <xdr:row>4</xdr:row>
      <xdr:rowOff>188383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2890500" y="10583"/>
          <a:ext cx="2006600" cy="10668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2</xdr:col>
      <xdr:colOff>409575</xdr:colOff>
      <xdr:row>9</xdr:row>
      <xdr:rowOff>51363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0" y="1466850"/>
          <a:ext cx="1171575" cy="62286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</xdr:colOff>
      <xdr:row>17</xdr:row>
      <xdr:rowOff>14228</xdr:rowOff>
    </xdr:from>
    <xdr:to>
      <xdr:col>10</xdr:col>
      <xdr:colOff>243417</xdr:colOff>
      <xdr:row>20</xdr:row>
      <xdr:rowOff>19050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6360584" y="3369145"/>
          <a:ext cx="1322916" cy="7033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19051</xdr:rowOff>
    </xdr:from>
    <xdr:to>
      <xdr:col>3</xdr:col>
      <xdr:colOff>4705350</xdr:colOff>
      <xdr:row>16</xdr:row>
      <xdr:rowOff>171451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2E9C8B-6F21-480C-AAD5-D944987D5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</xdr:row>
      <xdr:rowOff>0</xdr:rowOff>
    </xdr:from>
    <xdr:to>
      <xdr:col>5</xdr:col>
      <xdr:colOff>542925</xdr:colOff>
      <xdr:row>4</xdr:row>
      <xdr:rowOff>74633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8C301404-131D-4607-8DC0-0002406F32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7115175" y="0"/>
          <a:ext cx="1304925" cy="69375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752475</xdr:colOff>
      <xdr:row>3</xdr:row>
      <xdr:rowOff>0</xdr:rowOff>
    </xdr:from>
    <xdr:to>
      <xdr:col>6</xdr:col>
      <xdr:colOff>38100</xdr:colOff>
      <xdr:row>6</xdr:row>
      <xdr:rowOff>142875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5867400" y="581025"/>
          <a:ext cx="1619250" cy="7143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1</xdr:row>
      <xdr:rowOff>0</xdr:rowOff>
    </xdr:from>
    <xdr:to>
      <xdr:col>10</xdr:col>
      <xdr:colOff>514350</xdr:colOff>
      <xdr:row>4</xdr:row>
      <xdr:rowOff>19050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7553325" y="381000"/>
          <a:ext cx="1266825" cy="7334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123824</xdr:rowOff>
    </xdr:from>
    <xdr:to>
      <xdr:col>2</xdr:col>
      <xdr:colOff>171450</xdr:colOff>
      <xdr:row>5</xdr:row>
      <xdr:rowOff>9524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52400" y="495299"/>
          <a:ext cx="923925" cy="3905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1543050</xdr:colOff>
      <xdr:row>0</xdr:row>
      <xdr:rowOff>180975</xdr:rowOff>
    </xdr:from>
    <xdr:to>
      <xdr:col>6</xdr:col>
      <xdr:colOff>466725</xdr:colOff>
      <xdr:row>4</xdr:row>
      <xdr:rowOff>19050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5200650" y="371475"/>
          <a:ext cx="1238250" cy="6381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12</xdr:col>
      <xdr:colOff>742950</xdr:colOff>
      <xdr:row>5</xdr:row>
      <xdr:rowOff>95250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7172325" y="0"/>
          <a:ext cx="1504950" cy="828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gmgw.gm.com/USERS/OSAT-MSG/PROJECTS/General-Motors/GM%20MFD%20Engr/R&amp;R/gage-data-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los.perez/Downloads/AttributeMSA%20(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2003/0%20-%20Growth/OPNA/Portfolio/Q3%2005/Portfolio%20OPW%20Q3-05%20draf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CFS1\mgranat\MFGENG\Facilities-Maintenance\Plant%20Layout\Northstar%20cell%20layout%20and%20Workbench%20pl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los.perez/Desktop/Carlos/01%20Personal%20Projects/Personal%20Academy/Proyecto%20LSS%20GB%20Personal%20Academy/Lean%20Six%20Sigma%20Green%20Belt/Playbooks/02%20Medir/Templates/02%20Medi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ben%20Flores/Desktop/LEAN%20SIX%20SIGMA%20GREEN%20BELT/02%20MEDIR/06%20MEDIR%20MACROS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DEFINI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Microsoft%20Office/OFFICE11/xlstart/QE%20Tools.xl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nect.xyleminc.com/Program%20Files/Microsoft%20Office/OFFICE11/xlstart/QE%20Tools.xl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ralls/My%20Documents/SigmaFlow%20Insights%20Files/Corporation/Templates/Tools/Playbook-Defect_Reduction_DMAIC/GB_Template_Defect_Reduction_Tool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ii32963\Local%20Settings\Temporary%20Internet%20Files\OLKB\PBM_OA\PERSONAL%20FOLDERS\Rod\TXT%20DFSS\Project%20Generation\Sales%20Reporting\Risk%20Assessment%20Summary%20021703.XLT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CFS1\mgranat\DC%20Master\SPCKISS\SPC97%20Source%20Code\SPC97.XLA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ogram%20Files\Microsoft%20Office\OFFICE11\xlstart\QE%20Tools.xla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los.perez/Desktop/Desktop/Master%20Black%20Belt%20-%20Role/VBLSS%20Material/Copy%20of%20Six%20Sigma%20Template%20Ki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nz\Quality\6%20Sigma\SixSigmaTemplat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gmgw.gm.com/QETools/QETools%20Help/QE%20Tool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UNTITLED.PP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1"/>
      <sheetName val="Data Sheet"/>
      <sheetName val="Sheet1"/>
      <sheetName val="Chart"/>
      <sheetName val="Summary"/>
      <sheetName val="Point #1"/>
      <sheetName val="Point #2"/>
      <sheetName val="Point #3"/>
      <sheetName val="Point #4"/>
      <sheetName val="Point #5"/>
      <sheetName val="Point #6"/>
      <sheetName val="Point #7"/>
      <sheetName val="Point #8"/>
      <sheetName val="Point #9"/>
      <sheetName val="Point #10"/>
      <sheetName val="Point #11"/>
      <sheetName val="Point #12"/>
      <sheetName val="Point #13"/>
      <sheetName val="Point #14"/>
      <sheetName val="Point #15"/>
      <sheetName val="Point #16"/>
      <sheetName val="Point #17"/>
      <sheetName val="Point #18"/>
      <sheetName val="Point #19"/>
      <sheetName val="Point #20"/>
      <sheetName val="Point #21"/>
      <sheetName val="Point #22"/>
      <sheetName val="Point #23"/>
      <sheetName val="Point #24"/>
      <sheetName val="Point #25"/>
      <sheetName val="Point #26"/>
      <sheetName val="Point #27"/>
      <sheetName val="Point #28"/>
      <sheetName val="Point #29"/>
      <sheetName val="Point #30"/>
      <sheetName val="Point #31"/>
      <sheetName val="Point #32"/>
      <sheetName val="Point #33"/>
      <sheetName val="Point #34"/>
      <sheetName val="Point #35"/>
      <sheetName val="Point #36"/>
      <sheetName val="Point #37"/>
      <sheetName val="Point #38"/>
      <sheetName val="Point #39"/>
      <sheetName val="Point #40"/>
      <sheetName val="Module1"/>
      <sheetName val="Module2"/>
      <sheetName val="Module3"/>
    </sheetNames>
    <sheetDataSet>
      <sheetData sheetId="0" refreshError="1"/>
      <sheetData sheetId="1"/>
      <sheetData sheetId="2" refreshError="1"/>
      <sheetData sheetId="3" refreshError="1"/>
      <sheetData sheetId="4">
        <row r="21">
          <cell r="C21" t="str">
            <v>Enter Tol.</v>
          </cell>
          <cell r="K21" t="str">
            <v>Enter Tol.</v>
          </cell>
        </row>
        <row r="22">
          <cell r="C22" t="str">
            <v>Enter Tol.</v>
          </cell>
          <cell r="K22" t="str">
            <v>Enter Tol.</v>
          </cell>
        </row>
        <row r="23">
          <cell r="C23" t="str">
            <v>Enter Tol.</v>
          </cell>
          <cell r="K23" t="str">
            <v>Enter Tol.</v>
          </cell>
        </row>
        <row r="24">
          <cell r="C24" t="str">
            <v>Enter Tol.</v>
          </cell>
          <cell r="K24" t="str">
            <v>Enter Tol.</v>
          </cell>
        </row>
        <row r="25">
          <cell r="C25" t="str">
            <v>Enter Tol.</v>
          </cell>
          <cell r="K25" t="str">
            <v>Enter Tol.</v>
          </cell>
        </row>
        <row r="26">
          <cell r="C26" t="str">
            <v>Enter Tol.</v>
          </cell>
          <cell r="K26" t="e">
            <v>#REF!</v>
          </cell>
        </row>
        <row r="27">
          <cell r="C27" t="str">
            <v>Enter Tol.</v>
          </cell>
          <cell r="K27" t="e">
            <v>#REF!</v>
          </cell>
        </row>
        <row r="28">
          <cell r="C28" t="str">
            <v>Enter Tol.</v>
          </cell>
          <cell r="K28" t="e">
            <v>#REF!</v>
          </cell>
        </row>
        <row r="29">
          <cell r="C29" t="str">
            <v>Enter Tol.</v>
          </cell>
          <cell r="K29" t="e">
            <v>#REF!</v>
          </cell>
        </row>
        <row r="30">
          <cell r="C30" t="str">
            <v>Enter Tol.</v>
          </cell>
          <cell r="K30" t="e">
            <v>#REF!</v>
          </cell>
        </row>
        <row r="31">
          <cell r="C31" t="str">
            <v>Enter Tol.</v>
          </cell>
          <cell r="K31" t="e">
            <v>#REF!</v>
          </cell>
        </row>
        <row r="32">
          <cell r="C32" t="str">
            <v>Enter Tol.</v>
          </cell>
          <cell r="K32" t="e">
            <v>#REF!</v>
          </cell>
        </row>
        <row r="33">
          <cell r="C33" t="str">
            <v>Enter Tol.</v>
          </cell>
          <cell r="K33" t="e">
            <v>#REF!</v>
          </cell>
        </row>
        <row r="34">
          <cell r="C34" t="str">
            <v>Enter Tol.</v>
          </cell>
          <cell r="K34" t="e">
            <v>#REF!</v>
          </cell>
        </row>
        <row r="35">
          <cell r="C35" t="str">
            <v>Enter Tol.</v>
          </cell>
          <cell r="K35" t="e">
            <v>#REF!</v>
          </cell>
        </row>
        <row r="36">
          <cell r="C36" t="str">
            <v>Enter Tol.</v>
          </cell>
          <cell r="K36" t="e">
            <v>#REF!</v>
          </cell>
        </row>
        <row r="37">
          <cell r="C37" t="str">
            <v>Enter Tol.</v>
          </cell>
          <cell r="K37" t="e">
            <v>#REF!</v>
          </cell>
        </row>
        <row r="38">
          <cell r="C38" t="str">
            <v>Enter Tol.</v>
          </cell>
          <cell r="K38" t="e">
            <v>#REF!</v>
          </cell>
        </row>
        <row r="39">
          <cell r="C39" t="str">
            <v>Enter Tol.</v>
          </cell>
          <cell r="K39" t="e">
            <v>#REF!</v>
          </cell>
        </row>
        <row r="40">
          <cell r="C40" t="str">
            <v>Enter Tol.</v>
          </cell>
          <cell r="K40" t="e">
            <v>#REF!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tribute Data Sheet"/>
      <sheetName val="Attribute Results Sheet"/>
      <sheetName val="Kappa-Kendall"/>
      <sheetName val="Calcs"/>
      <sheetName val="KappaBTS"/>
      <sheetName val="KendallBTS"/>
      <sheetName val="CDKendall"/>
    </sheetNames>
    <sheetDataSet>
      <sheetData sheetId="0"/>
      <sheetData sheetId="1">
        <row r="18">
          <cell r="B18" t="str">
            <v>Upper limit</v>
          </cell>
        </row>
      </sheetData>
      <sheetData sheetId="2" refreshError="1"/>
      <sheetData sheetId="3">
        <row r="4">
          <cell r="AY4">
            <v>0</v>
          </cell>
        </row>
      </sheetData>
      <sheetData sheetId="4">
        <row r="1">
          <cell r="E1" t="str">
            <v/>
          </cell>
        </row>
        <row r="4">
          <cell r="B4">
            <v>2</v>
          </cell>
        </row>
        <row r="5">
          <cell r="B5">
            <v>2</v>
          </cell>
        </row>
      </sheetData>
      <sheetData sheetId="5">
        <row r="17">
          <cell r="BX17" t="e">
            <v>#VALUE!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</sheetData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E"/>
      <sheetName val="BEYOND CORE"/>
      <sheetName val="KILLED"/>
      <sheetName val="QUADRANT"/>
      <sheetName val=" APPLICATIONS"/>
      <sheetName val="OPNA p-table"/>
      <sheetName val="Sheet2"/>
    </sheetNames>
    <sheetDataSet>
      <sheetData sheetId="0"/>
      <sheetData sheetId="1"/>
      <sheetData sheetId="2"/>
      <sheetData sheetId="3"/>
      <sheetData sheetId="4">
        <row r="2">
          <cell r="A2" t="str">
            <v>1 Mailing</v>
          </cell>
        </row>
        <row r="3">
          <cell r="A3" t="str">
            <v>2 ID</v>
          </cell>
        </row>
        <row r="4">
          <cell r="A4" t="str">
            <v>3 Media</v>
          </cell>
        </row>
        <row r="5">
          <cell r="A5" t="str">
            <v>4 Business Cards</v>
          </cell>
        </row>
        <row r="6">
          <cell r="A6" t="str">
            <v>5 Personal Creations</v>
          </cell>
        </row>
        <row r="7">
          <cell r="A7" t="str">
            <v>6 Printable Divider</v>
          </cell>
        </row>
        <row r="8">
          <cell r="A8" t="str">
            <v>7 Paper</v>
          </cell>
        </row>
        <row r="9">
          <cell r="A9" t="str">
            <v>8 OF&amp;P</v>
          </cell>
        </row>
        <row r="10">
          <cell r="A10" t="str">
            <v>9 Customer Brand</v>
          </cell>
        </row>
        <row r="11">
          <cell r="A11" t="str">
            <v>10 Writing Instr.</v>
          </cell>
        </row>
        <row r="12">
          <cell r="A12" t="str">
            <v>11 Alt. Mkt Routes</v>
          </cell>
        </row>
        <row r="13">
          <cell r="A13" t="str">
            <v>12 Misc</v>
          </cell>
        </row>
      </sheetData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or Plan 9_01"/>
      <sheetName val="Floor Plan 8_01"/>
      <sheetName val="Air and power"/>
      <sheetName val="Benches"/>
      <sheetName val="BOM"/>
      <sheetName val="bench comparo"/>
      <sheetName val="Blank floor plan"/>
      <sheetName val="3P - air and power"/>
      <sheetName val="3P - benchtop"/>
      <sheetName val="Notes"/>
      <sheetName val="Floor Plan 6_19_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dora Takt"/>
      <sheetName val="SIPOC"/>
      <sheetName val="Diagrama Espaghetti"/>
      <sheetName val="Recorrido desperdicio"/>
      <sheetName val="Auditoria 5S"/>
      <sheetName val="Estudio de Tiempos 2"/>
      <sheetName val="SigmaCalculator"/>
      <sheetName val="DataCollectionPlan"/>
      <sheetName val="BasicStats"/>
      <sheetName val="GageRR-Study X-R"/>
      <sheetName val="GR&amp;R formato variables"/>
      <sheetName val="Formato Cap LT"/>
      <sheetName val="PPM"/>
      <sheetName val="no shift"/>
      <sheetName val="RTY"/>
      <sheetName val="DPMO Calculator"/>
      <sheetName val="DPMO&gt;Sig&gt;Cpk"/>
      <sheetName val="Checklist Me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6">
          <cell r="B16">
            <v>3.4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dora Takt"/>
      <sheetName val="SIPOC"/>
      <sheetName val="Diagrama Espaghetti"/>
      <sheetName val="Recorrido desperdicio"/>
      <sheetName val="Auditoria 5S"/>
      <sheetName val="Estudio de Tiempos 2"/>
      <sheetName val="SigmaCalculator"/>
      <sheetName val="DataCollectionPlan"/>
      <sheetName val="BasicStats"/>
      <sheetName val="GageRR-Study X-R"/>
      <sheetName val="GR&amp;R formato variables"/>
      <sheetName val="Attribute Data Sheet"/>
      <sheetName val="Attribute Results Sheet"/>
      <sheetName val="Kappa-Kendall"/>
      <sheetName val="Formato Cap LT"/>
      <sheetName val="Sigma Level SHIFT"/>
      <sheetName val="Sigma Level No Shift"/>
      <sheetName val="RTY"/>
      <sheetName val="DPMO Calculator"/>
      <sheetName val="DPMO&gt;Sig&gt;Cpk"/>
      <sheetName val="Checklist Defin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16">
          <cell r="B16">
            <v>3.4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z Priorizacion Proyectos"/>
      <sheetName val="Cuadro Clarificacion Problema"/>
      <sheetName val="Árbol CTQ (Critico Para Calida"/>
      <sheetName val="Series de tiempo"/>
      <sheetName val="Pareto"/>
      <sheetName val="Objetivo SMART"/>
      <sheetName val="SIPOC"/>
      <sheetName val="Beneficios y ahorros"/>
      <sheetName val="Tabla identificacion proyect"/>
      <sheetName val="Project Members"/>
      <sheetName val="Gantt"/>
      <sheetName val="Plan de comunicacion"/>
      <sheetName val="Recursos"/>
      <sheetName val="Project Charter"/>
      <sheetName val="A3 DEFIN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E4">
            <v>44546</v>
          </cell>
        </row>
        <row r="6">
          <cell r="E6">
            <v>1</v>
          </cell>
        </row>
      </sheetData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1.5 Updates"/>
      <sheetName val="usrWks_DataSheet"/>
      <sheetName val="tmlWks_test variance - standard"/>
      <sheetName val="tmlWks_test two variances"/>
      <sheetName val="tmlWks_test two means - ind"/>
      <sheetName val="tmlWks_test paired data"/>
      <sheetName val="tmlWks_test two proportions"/>
      <sheetName val="tmlWks_Tool Roadmap"/>
      <sheetName val="tmlWks_DPM Calculator"/>
      <sheetName val="tmlWks_Sigma Level Calculator"/>
      <sheetName val="tmlWks_Project Charter"/>
      <sheetName val="tmlWks_GageRR"/>
      <sheetName val="tmlWks_Repeated Meas Study"/>
      <sheetName val="tmlWks_Attribute Matching Study"/>
      <sheetName val="tmlWks_Control Plan Mfg"/>
      <sheetName val="tmlWks_Control Plan Trans"/>
      <sheetName val="tmlWks_Tolerance Analysis"/>
      <sheetName val="Chart Builder Template for RC"/>
      <sheetName val="tmlWks_HOQ"/>
      <sheetName val="tmlWks_FMEA"/>
      <sheetName val="wksMultiBoxPlot"/>
      <sheetName val="wksTallybyTable"/>
      <sheetName val="wksPareto"/>
      <sheetName val="wksXbar-Range"/>
      <sheetName val="wksP-Chart"/>
      <sheetName val="wksHistogram"/>
      <sheetName val="wksCapAnalysisNonNormal"/>
      <sheetName val="wksCapAnalysisBinomial"/>
      <sheetName val="wksCapAnalysis"/>
      <sheetName val="wksScatterPlot"/>
      <sheetName val="wksCauseEffect"/>
      <sheetName val="wksSIPOC"/>
      <sheetName val="wksRunChart"/>
      <sheetName val="wksTolSimLinear"/>
      <sheetName val="wksRegression"/>
      <sheetName val="wksFactorial"/>
      <sheetName val="wksMRegression"/>
      <sheetName val="wksBlank"/>
      <sheetName val="wksNavigation"/>
      <sheetName val="wksEnabledMenu"/>
      <sheetName val="wksDisabledMenu"/>
      <sheetName val="tmlWks_Pugh Matrix"/>
      <sheetName val="tmlWks_Scorecard"/>
      <sheetName val="tmlWks_Scorecard_Simple"/>
      <sheetName val="tmlWks_Yield Analyzer"/>
      <sheetName val="tmlWks_Process Cap Converter"/>
      <sheetName val="tmlWks_Sigma Level Converter"/>
      <sheetName val="tmlWks_Paired(Rep) Meas Study"/>
      <sheetName val="wksDOEAnalysis"/>
      <sheetName val="Triz Contradiction Matrix"/>
      <sheetName val="tmlWks_Process Cap Calcula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I2" t="str">
            <v>Other Generic Assumptions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AB2">
            <v>1</v>
          </cell>
        </row>
        <row r="10">
          <cell r="C10" t="e">
            <v>#DIV/0!</v>
          </cell>
        </row>
        <row r="12">
          <cell r="AF12">
            <v>2</v>
          </cell>
        </row>
        <row r="16">
          <cell r="AF16">
            <v>1</v>
          </cell>
        </row>
      </sheetData>
      <sheetData sheetId="26">
        <row r="2">
          <cell r="AB2" t="e">
            <v>#DIV/0!</v>
          </cell>
        </row>
        <row r="12">
          <cell r="AF12">
            <v>1</v>
          </cell>
        </row>
      </sheetData>
      <sheetData sheetId="27"/>
      <sheetData sheetId="28">
        <row r="2">
          <cell r="AB2" t="e">
            <v>#DIV/0!</v>
          </cell>
        </row>
        <row r="12">
          <cell r="AF12">
            <v>1</v>
          </cell>
        </row>
      </sheetData>
      <sheetData sheetId="29">
        <row r="2">
          <cell r="AE2" t="e">
            <v>#DIV/0!</v>
          </cell>
          <cell r="AF2" t="e">
            <v>#DIV/0!</v>
          </cell>
        </row>
        <row r="4">
          <cell r="AE4">
            <v>0</v>
          </cell>
          <cell r="AF4" t="e">
            <v>#DIV/0!</v>
          </cell>
        </row>
        <row r="5">
          <cell r="AE5">
            <v>0</v>
          </cell>
          <cell r="AF5" t="e">
            <v>#DIV/0!</v>
          </cell>
        </row>
      </sheetData>
      <sheetData sheetId="30"/>
      <sheetData sheetId="31"/>
      <sheetData sheetId="32"/>
      <sheetData sheetId="33"/>
      <sheetData sheetId="34"/>
      <sheetData sheetId="35"/>
      <sheetData sheetId="36">
        <row r="7">
          <cell r="CV7">
            <v>1</v>
          </cell>
        </row>
      </sheetData>
      <sheetData sheetId="37"/>
      <sheetData sheetId="38"/>
      <sheetData sheetId="39"/>
      <sheetData sheetId="40"/>
      <sheetData sheetId="41"/>
      <sheetData sheetId="42">
        <row r="23">
          <cell r="C23" t="str">
            <v>Requirements Group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rWks_DataSheet"/>
      <sheetName val="tmlWks_Tool Roadmap"/>
      <sheetName val="tmlWks_Project Charter"/>
      <sheetName val="wksSIPOC"/>
      <sheetName val="tmlWks_FMEA"/>
      <sheetName val="wksCauseEffect"/>
      <sheetName val="tmlWks_Control Plan Mfg"/>
      <sheetName val="tmlWks_Control Plan Trans"/>
      <sheetName val="tmlWks_HOQ"/>
      <sheetName val="tmlWks_Pugh Matrix"/>
      <sheetName val="tmlWks_Scorecard"/>
      <sheetName val="tmlWks_Scorecard_Simple"/>
      <sheetName val="tmlWks_Yield Analyzer"/>
      <sheetName val="tmlWks_test variance - standard"/>
      <sheetName val="tmlWks_test two variances"/>
      <sheetName val="tmlWks_test paired data"/>
      <sheetName val="tmlWks_test two proportions"/>
      <sheetName val="tmlWks_test two means - ind"/>
      <sheetName val="tmlWks_Process Cap Converter"/>
      <sheetName val="tmlWks_Sigma Level Converter"/>
      <sheetName val="tmlWks_GageRR"/>
      <sheetName val="tmlWks_Paired(Rep) Meas Study"/>
      <sheetName val="tmlWks_Attribute Matching Study"/>
      <sheetName val="wksMultiBoxPlot"/>
      <sheetName val="wksPareto"/>
      <sheetName val="wksXbar-Range"/>
      <sheetName val="wksP-Chart"/>
      <sheetName val="wksHistogram"/>
      <sheetName val="wksCapAnalysis"/>
      <sheetName val="wksCapAnalysisNonNormal"/>
      <sheetName val="wksCapAnalysisBinomial"/>
      <sheetName val="wksScatterPlot"/>
      <sheetName val="wksRunChart"/>
      <sheetName val="wksDOEAnalysis"/>
      <sheetName val="wksFactorial"/>
      <sheetName val="wksMRegression"/>
      <sheetName val="wksBlank"/>
      <sheetName val="wksEnabledMenu"/>
      <sheetName val="wksDisabledMenu"/>
      <sheetName val="tmlWks_Tolerance Analysis"/>
      <sheetName val="wksTolSimLinear"/>
      <sheetName val="Triz Contradiction Matrix"/>
      <sheetName val="tmlWks_Process Cap Calculator"/>
      <sheetName val="tmlWks_DPM Calculator"/>
      <sheetName val="tmlWks_Sigma Level Calculator"/>
      <sheetName val="tmlWks_Repeated Meas Study"/>
      <sheetName val="Chart Builder Template for 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3">
          <cell r="C23" t="str">
            <v>Requirements Group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AB2">
            <v>1</v>
          </cell>
        </row>
        <row r="10">
          <cell r="C10" t="e">
            <v>#DIV/0!</v>
          </cell>
        </row>
        <row r="12">
          <cell r="AF12">
            <v>2</v>
          </cell>
        </row>
        <row r="16">
          <cell r="AF16">
            <v>1</v>
          </cell>
        </row>
      </sheetData>
      <sheetData sheetId="28">
        <row r="2">
          <cell r="AB2" t="e">
            <v>#DIV/0!</v>
          </cell>
        </row>
        <row r="12">
          <cell r="AF12">
            <v>1</v>
          </cell>
        </row>
      </sheetData>
      <sheetData sheetId="29">
        <row r="2">
          <cell r="AB2" t="e">
            <v>#DIV/0!</v>
          </cell>
        </row>
        <row r="12">
          <cell r="AF12">
            <v>1</v>
          </cell>
        </row>
      </sheetData>
      <sheetData sheetId="30"/>
      <sheetData sheetId="31">
        <row r="2">
          <cell r="AE2" t="e">
            <v>#DIV/0!</v>
          </cell>
          <cell r="AF2" t="e">
            <v>#DIV/0!</v>
          </cell>
        </row>
        <row r="4">
          <cell r="AE4">
            <v>0</v>
          </cell>
          <cell r="AF4" t="e">
            <v>#DIV/0!</v>
          </cell>
        </row>
        <row r="5">
          <cell r="AE5">
            <v>0</v>
          </cell>
          <cell r="AF5" t="e">
            <v>#DIV/0!</v>
          </cell>
        </row>
      </sheetData>
      <sheetData sheetId="32"/>
      <sheetData sheetId="33"/>
      <sheetData sheetId="34"/>
      <sheetData sheetId="35">
        <row r="7">
          <cell r="CV7">
            <v>1</v>
          </cell>
        </row>
      </sheetData>
      <sheetData sheetId="36"/>
      <sheetData sheetId="37"/>
      <sheetData sheetId="38"/>
      <sheetData sheetId="39">
        <row r="2">
          <cell r="I2" t="str">
            <v>Other Generic Assumptions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Plan"/>
      <sheetName val="Project Contract"/>
      <sheetName val="Mentor Work Agreement"/>
      <sheetName val="Mentoring Success Factors"/>
      <sheetName val="Project Completion"/>
      <sheetName val="Includes-Excludes"/>
      <sheetName val="SIPOC"/>
      <sheetName val="Attribute Capability"/>
      <sheetName val="FMEA-Improvement Plan"/>
      <sheetName val="Pareto-FOV"/>
      <sheetName val="KPIV List"/>
      <sheetName val="Control Plan"/>
      <sheetName val="Revision History"/>
    </sheetNames>
    <sheetDataSet>
      <sheetData sheetId="0">
        <row r="4">
          <cell r="C4" t="str">
            <v>Project Team Established</v>
          </cell>
          <cell r="D4">
            <v>37987</v>
          </cell>
        </row>
        <row r="5">
          <cell r="B5" t="str">
            <v>2. Select CTS Characteristic / Set Goal</v>
          </cell>
          <cell r="C5" t="str">
            <v>CTS Flow Down</v>
          </cell>
          <cell r="D5">
            <v>37987</v>
          </cell>
        </row>
        <row r="6">
          <cell r="C6" t="str">
            <v>Defined Project Ys</v>
          </cell>
          <cell r="D6">
            <v>37994</v>
          </cell>
        </row>
        <row r="7">
          <cell r="C7" t="str">
            <v>Defined Project Scope</v>
          </cell>
          <cell r="D7">
            <v>37994</v>
          </cell>
        </row>
        <row r="8">
          <cell r="C8" t="str">
            <v>Baseline Financials Completed</v>
          </cell>
          <cell r="D8">
            <v>37994</v>
          </cell>
        </row>
        <row r="9">
          <cell r="B9" t="str">
            <v>3. Define Process / Preliminary Families of Variation</v>
          </cell>
          <cell r="C9" t="str">
            <v>SIPOC</v>
          </cell>
          <cell r="D9">
            <v>38001</v>
          </cell>
        </row>
        <row r="10">
          <cell r="C10" t="str">
            <v>Detailed Process Map</v>
          </cell>
          <cell r="D10">
            <v>38001</v>
          </cell>
        </row>
        <row r="11">
          <cell r="B11" t="str">
            <v>4.  Validate Y's Measurement System</v>
          </cell>
          <cell r="C11" t="str">
            <v>Validated Y's Measurement System</v>
          </cell>
          <cell r="D11">
            <v>38008</v>
          </cell>
        </row>
        <row r="12">
          <cell r="B12" t="str">
            <v>5. Establish Baseline Capability</v>
          </cell>
          <cell r="C12" t="str">
            <v>Baseline Process Capability Determined</v>
          </cell>
          <cell r="D12">
            <v>38008</v>
          </cell>
        </row>
        <row r="13">
          <cell r="B13" t="str">
            <v>6. Define Performance Objectives</v>
          </cell>
          <cell r="C13" t="str">
            <v>Updated Financials</v>
          </cell>
          <cell r="D13">
            <v>38008</v>
          </cell>
        </row>
      </sheetData>
      <sheetData sheetId="1">
        <row r="65">
          <cell r="B65" t="str">
            <v>Individual</v>
          </cell>
        </row>
        <row r="66">
          <cell r="B66" t="str">
            <v>Team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 Template"/>
      <sheetName val="Matrix"/>
      <sheetName val="Risk Categories"/>
    </sheetNames>
    <sheetDataSet>
      <sheetData sheetId="0" refreshError="1"/>
      <sheetData sheetId="1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</row>
        <row r="5">
          <cell r="B5">
            <v>1</v>
          </cell>
          <cell r="C5" t="str">
            <v>Low</v>
          </cell>
          <cell r="D5" t="str">
            <v>Low</v>
          </cell>
          <cell r="E5" t="str">
            <v>Low</v>
          </cell>
          <cell r="F5" t="str">
            <v>Low</v>
          </cell>
          <cell r="G5" t="str">
            <v>Low</v>
          </cell>
          <cell r="H5" t="str">
            <v>Low</v>
          </cell>
          <cell r="I5" t="str">
            <v>Low</v>
          </cell>
          <cell r="J5" t="str">
            <v>Low</v>
          </cell>
          <cell r="K5" t="str">
            <v>Low</v>
          </cell>
          <cell r="N5">
            <v>1</v>
          </cell>
          <cell r="O5" t="str">
            <v>Very Unlikely</v>
          </cell>
          <cell r="T5">
            <v>1</v>
          </cell>
          <cell r="U5" t="str">
            <v>Negligible</v>
          </cell>
        </row>
        <row r="6">
          <cell r="B6">
            <v>2</v>
          </cell>
          <cell r="C6" t="str">
            <v>Low</v>
          </cell>
          <cell r="D6" t="str">
            <v>Low</v>
          </cell>
          <cell r="E6" t="str">
            <v>Low</v>
          </cell>
          <cell r="F6" t="str">
            <v>Low</v>
          </cell>
          <cell r="G6" t="str">
            <v>Low</v>
          </cell>
          <cell r="H6" t="str">
            <v>Low</v>
          </cell>
          <cell r="I6" t="str">
            <v>Low</v>
          </cell>
          <cell r="J6" t="str">
            <v>Low</v>
          </cell>
          <cell r="K6" t="str">
            <v>Low</v>
          </cell>
          <cell r="N6">
            <v>3</v>
          </cell>
          <cell r="O6" t="str">
            <v>Unlikely</v>
          </cell>
          <cell r="T6">
            <v>3</v>
          </cell>
          <cell r="U6" t="str">
            <v>Marginal</v>
          </cell>
        </row>
        <row r="7">
          <cell r="B7">
            <v>3</v>
          </cell>
          <cell r="C7" t="str">
            <v>Low</v>
          </cell>
          <cell r="D7" t="str">
            <v>Low</v>
          </cell>
          <cell r="E7" t="str">
            <v>Low</v>
          </cell>
          <cell r="F7" t="str">
            <v>Low</v>
          </cell>
          <cell r="G7" t="str">
            <v>Moderate</v>
          </cell>
          <cell r="H7" t="str">
            <v>Moderate</v>
          </cell>
          <cell r="I7" t="str">
            <v>Moderate</v>
          </cell>
          <cell r="J7" t="str">
            <v>Moderate</v>
          </cell>
          <cell r="K7" t="str">
            <v>Moderate</v>
          </cell>
          <cell r="N7">
            <v>5</v>
          </cell>
          <cell r="O7" t="str">
            <v>Likely</v>
          </cell>
          <cell r="T7">
            <v>5</v>
          </cell>
          <cell r="U7" t="str">
            <v>Significant</v>
          </cell>
        </row>
        <row r="8">
          <cell r="B8">
            <v>4</v>
          </cell>
          <cell r="C8" t="str">
            <v>Low</v>
          </cell>
          <cell r="D8" t="str">
            <v>Low</v>
          </cell>
          <cell r="E8" t="str">
            <v>Low</v>
          </cell>
          <cell r="F8" t="str">
            <v>Low</v>
          </cell>
          <cell r="G8" t="str">
            <v>Moderate</v>
          </cell>
          <cell r="H8" t="str">
            <v>Moderate</v>
          </cell>
          <cell r="I8" t="str">
            <v>Moderate</v>
          </cell>
          <cell r="J8" t="str">
            <v>Moderate</v>
          </cell>
          <cell r="K8" t="str">
            <v>Moderate</v>
          </cell>
          <cell r="N8">
            <v>7</v>
          </cell>
          <cell r="O8" t="str">
            <v>Very Likely</v>
          </cell>
          <cell r="T8">
            <v>7</v>
          </cell>
          <cell r="U8" t="str">
            <v>Critical</v>
          </cell>
        </row>
        <row r="9">
          <cell r="B9">
            <v>5</v>
          </cell>
          <cell r="C9" t="str">
            <v>Low</v>
          </cell>
          <cell r="D9" t="str">
            <v>Low</v>
          </cell>
          <cell r="E9" t="str">
            <v>Low</v>
          </cell>
          <cell r="F9" t="str">
            <v>Low</v>
          </cell>
          <cell r="G9" t="str">
            <v>Moderate</v>
          </cell>
          <cell r="H9" t="str">
            <v>Moderate</v>
          </cell>
          <cell r="I9" t="str">
            <v>Moderate</v>
          </cell>
          <cell r="J9" t="str">
            <v>Moderate</v>
          </cell>
          <cell r="K9" t="str">
            <v>High</v>
          </cell>
          <cell r="N9">
            <v>9</v>
          </cell>
          <cell r="O9" t="str">
            <v>Almost Certain</v>
          </cell>
          <cell r="T9">
            <v>9</v>
          </cell>
          <cell r="U9" t="str">
            <v>Crisis</v>
          </cell>
        </row>
        <row r="10">
          <cell r="B10">
            <v>6</v>
          </cell>
          <cell r="C10" t="str">
            <v>Low</v>
          </cell>
          <cell r="D10" t="str">
            <v>Low</v>
          </cell>
          <cell r="E10" t="str">
            <v>Moderate</v>
          </cell>
          <cell r="F10" t="str">
            <v>Moderate</v>
          </cell>
          <cell r="G10" t="str">
            <v>Moderate</v>
          </cell>
          <cell r="H10" t="str">
            <v>Moderate</v>
          </cell>
          <cell r="I10" t="str">
            <v>Moderate</v>
          </cell>
          <cell r="J10" t="str">
            <v>Moderate</v>
          </cell>
          <cell r="K10" t="str">
            <v>High</v>
          </cell>
        </row>
        <row r="11">
          <cell r="B11">
            <v>7</v>
          </cell>
          <cell r="C11" t="str">
            <v>Low</v>
          </cell>
          <cell r="D11" t="str">
            <v>Low</v>
          </cell>
          <cell r="E11" t="str">
            <v>Moderate</v>
          </cell>
          <cell r="F11" t="str">
            <v>Moderate</v>
          </cell>
          <cell r="G11" t="str">
            <v>Moderate</v>
          </cell>
          <cell r="H11" t="str">
            <v>Moderate</v>
          </cell>
          <cell r="I11" t="str">
            <v>High</v>
          </cell>
          <cell r="J11" t="str">
            <v>High</v>
          </cell>
          <cell r="K11" t="str">
            <v>High</v>
          </cell>
        </row>
        <row r="12">
          <cell r="B12">
            <v>8</v>
          </cell>
          <cell r="C12" t="str">
            <v>Low</v>
          </cell>
          <cell r="D12" t="str">
            <v>Low</v>
          </cell>
          <cell r="E12" t="str">
            <v>Moderate</v>
          </cell>
          <cell r="F12" t="str">
            <v>Moderate</v>
          </cell>
          <cell r="G12" t="str">
            <v>Moderate</v>
          </cell>
          <cell r="H12" t="str">
            <v>Moderate</v>
          </cell>
          <cell r="I12" t="str">
            <v>High</v>
          </cell>
          <cell r="J12" t="str">
            <v>High</v>
          </cell>
          <cell r="K12" t="str">
            <v>High</v>
          </cell>
        </row>
        <row r="13">
          <cell r="B13">
            <v>9</v>
          </cell>
          <cell r="C13" t="str">
            <v>Low</v>
          </cell>
          <cell r="D13" t="str">
            <v>Low</v>
          </cell>
          <cell r="E13" t="str">
            <v>Moderate</v>
          </cell>
          <cell r="F13" t="str">
            <v>Moderate</v>
          </cell>
          <cell r="G13" t="str">
            <v>High</v>
          </cell>
          <cell r="H13" t="str">
            <v>High</v>
          </cell>
          <cell r="I13" t="str">
            <v>High</v>
          </cell>
          <cell r="J13" t="str">
            <v>High</v>
          </cell>
          <cell r="K13" t="str">
            <v>High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ic Data"/>
      <sheetName val="Defaults"/>
      <sheetName val="Help Context"/>
      <sheetName val="Main_Code"/>
      <sheetName val="c_GetAndCheckMultipleData"/>
      <sheetName val="IndTest"/>
      <sheetName val="c_OptionsMultiple"/>
      <sheetName val="Multiple Chart Data Format Dial"/>
      <sheetName val="gage Dialog"/>
      <sheetName val="Ind Dialog"/>
      <sheetName val="gage Create"/>
      <sheetName val="Control Charts Dialog"/>
      <sheetName val="Distro"/>
      <sheetName val="c_GenerateControlChart"/>
      <sheetName val="getXandY Dialog"/>
      <sheetName val="c_GetAndCheckIMRData"/>
      <sheetName val="c_OptionsIMR"/>
      <sheetName val="c_GetAndCheckpData"/>
      <sheetName val="c_Optionsp"/>
      <sheetName val="c_7Checking"/>
      <sheetName val="c_GetSampleSizeDialog"/>
      <sheetName val="c_HandleSingleColumns"/>
      <sheetName val="c_GetAndCheckXRXSData"/>
      <sheetName val="c_OptionsXR"/>
      <sheetName val="m_CorrelationMatrix"/>
      <sheetName val="CorrelationRowsOrColumns"/>
      <sheetName val="m_MultipleRegression"/>
      <sheetName val="WhichCpk Dialog"/>
      <sheetName val="d_GenerateDiagrams"/>
      <sheetName val="InRowsOrColumns Dialog"/>
      <sheetName val="d_GetLegendAndTitle"/>
      <sheetName val="Legend And Title Dialog"/>
      <sheetName val="d_GetAndCheckParetoData"/>
      <sheetName val="d_OptionsPareto"/>
      <sheetName val="Par Dialog"/>
      <sheetName val="hist Dialog"/>
      <sheetName val="d_GetAndCheckHistogramData"/>
      <sheetName val="d_OptionsHistogram"/>
      <sheetName val="d_GetAndCheckScatterData"/>
      <sheetName val="d_OptionsScatter"/>
      <sheetName val="scat Dialog"/>
      <sheetName val="cpk Dialog"/>
      <sheetName val="d_GetAndCheckCPKData"/>
      <sheetName val="d_OptionsCPK"/>
      <sheetName val="Special Cpk"/>
      <sheetName val="Special Cpk Dialog"/>
      <sheetName val="d_OptionsCDF"/>
      <sheetName val="CDF Dialog"/>
      <sheetName val="Cusum Dialog"/>
      <sheetName val="Process Summary Dialog"/>
      <sheetName val="Product Report Dialog"/>
      <sheetName val="About Dialog"/>
      <sheetName val="TypeControlLimits Dialog"/>
      <sheetName val="Diagrams Dialog"/>
      <sheetName val="c_GetTypeControlLimits"/>
      <sheetName val="d_GetAndCheckStatsData"/>
      <sheetName val="PRO_CusumChart"/>
      <sheetName val="d_OptionsStats"/>
      <sheetName val="PRO_CusumGetOptions"/>
      <sheetName val="B98_SixSigmaReports"/>
      <sheetName val="B98_ComputeControlChartStats"/>
      <sheetName val="B98_HistogramAndCurveFunctions"/>
      <sheetName val="B98_CapabilityIndicies"/>
      <sheetName val="B98_ProductReports"/>
      <sheetName val="B98_IndividualControlLimits"/>
      <sheetName val="ComputeSigmaCapability"/>
      <sheetName val="SPC97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rWks_DataSheet"/>
      <sheetName val="tmlWks_Tool Roadmap"/>
      <sheetName val="tmlWks_Project Charter"/>
      <sheetName val="wksSIPOC"/>
      <sheetName val="tmlWks_FMEA"/>
      <sheetName val="wksCauseEffect"/>
      <sheetName val="tmlWks_Control Plan Mfg"/>
      <sheetName val="tmlWks_Control Plan Trans"/>
      <sheetName val="tmlWks_HOQ"/>
      <sheetName val="tmlWks_Pugh Matrix"/>
      <sheetName val="tmlWks_Scorecard"/>
      <sheetName val="tmlWks_Scorecard_Simple"/>
      <sheetName val="tmlWks_Yield Analyzer"/>
      <sheetName val="tmlWks_test variance - standard"/>
      <sheetName val="tmlWks_test two variances"/>
      <sheetName val="tmlWks_test paired data"/>
      <sheetName val="tmlWks_test two proportions"/>
      <sheetName val="tmlWks_test two means - ind"/>
      <sheetName val="tmlWks_Process Cap Converter"/>
      <sheetName val="tmlWks_Sigma Level Converter"/>
      <sheetName val="tmlWks_GageRR"/>
      <sheetName val="tmlWks_Paired(Rep) Meas Study"/>
      <sheetName val="tmlWks_Attribute Matching Study"/>
      <sheetName val="wksMultiBoxPlot"/>
      <sheetName val="wksPareto"/>
      <sheetName val="wksXbar-Range"/>
      <sheetName val="wksP-Chart"/>
      <sheetName val="wksHistogram"/>
      <sheetName val="wksCapAnalysis"/>
      <sheetName val="wksCapAnalysisNonNormal"/>
      <sheetName val="wksCapAnalysisBinomial"/>
      <sheetName val="wksScatterPlot"/>
      <sheetName val="wksRunChart"/>
      <sheetName val="wksDOEAnalysis"/>
      <sheetName val="wksFactorial"/>
      <sheetName val="wksMRegression"/>
      <sheetName val="wksBlank"/>
      <sheetName val="wksEnabledMenu"/>
      <sheetName val="wksDisabledMenu"/>
      <sheetName val="tmlWks_Tolerance Analysis"/>
      <sheetName val="wksTolSimLin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3">
          <cell r="C23" t="str">
            <v>Requirements Group</v>
          </cell>
          <cell r="F23" t="str">
            <v>Desirability Index</v>
          </cell>
        </row>
        <row r="24">
          <cell r="F24" t="str">
            <v/>
          </cell>
        </row>
        <row r="25">
          <cell r="F25" t="str">
            <v/>
          </cell>
        </row>
        <row r="26">
          <cell r="F26" t="str">
            <v/>
          </cell>
        </row>
        <row r="27">
          <cell r="F27" t="str">
            <v/>
          </cell>
        </row>
        <row r="28">
          <cell r="F28" t="str">
            <v/>
          </cell>
        </row>
        <row r="29">
          <cell r="F29" t="str">
            <v/>
          </cell>
        </row>
        <row r="30">
          <cell r="F30" t="str">
            <v/>
          </cell>
        </row>
        <row r="31">
          <cell r="F31" t="str">
            <v/>
          </cell>
        </row>
        <row r="32">
          <cell r="F32" t="str">
            <v/>
          </cell>
        </row>
        <row r="35">
          <cell r="C35" t="str">
            <v/>
          </cell>
        </row>
        <row r="36">
          <cell r="C36" t="str">
            <v>Detail Requirements</v>
          </cell>
          <cell r="F36" t="str">
            <v>Desirability, d</v>
          </cell>
          <cell r="L36" t="str">
            <v>Actual Level (StDev)</v>
          </cell>
        </row>
        <row r="37">
          <cell r="B37">
            <v>1.1000000000000001</v>
          </cell>
          <cell r="F37" t="str">
            <v/>
          </cell>
          <cell r="P37">
            <v>0</v>
          </cell>
          <cell r="Q37">
            <v>1</v>
          </cell>
          <cell r="R37" t="str">
            <v/>
          </cell>
          <cell r="S37">
            <v>1</v>
          </cell>
          <cell r="T37">
            <v>0</v>
          </cell>
          <cell r="U37">
            <v>1</v>
          </cell>
        </row>
        <row r="38">
          <cell r="F38" t="str">
            <v/>
          </cell>
          <cell r="P38">
            <v>0</v>
          </cell>
          <cell r="Q38">
            <v>1</v>
          </cell>
          <cell r="R38" t="str">
            <v/>
          </cell>
          <cell r="S38">
            <v>1</v>
          </cell>
          <cell r="T38">
            <v>0</v>
          </cell>
          <cell r="U38">
            <v>1</v>
          </cell>
        </row>
        <row r="39">
          <cell r="F39" t="str">
            <v/>
          </cell>
        </row>
        <row r="42">
          <cell r="C42" t="str">
            <v/>
          </cell>
        </row>
        <row r="43">
          <cell r="C43" t="str">
            <v>Detail Requirements</v>
          </cell>
          <cell r="F43" t="str">
            <v>Desirability, d</v>
          </cell>
          <cell r="L43" t="str">
            <v>Actual Level (StDev)</v>
          </cell>
        </row>
        <row r="44">
          <cell r="B44">
            <v>2.1</v>
          </cell>
          <cell r="F44" t="str">
            <v/>
          </cell>
          <cell r="P44">
            <v>0</v>
          </cell>
          <cell r="Q44">
            <v>1</v>
          </cell>
          <cell r="R44" t="str">
            <v/>
          </cell>
          <cell r="S44">
            <v>1</v>
          </cell>
          <cell r="T44">
            <v>0</v>
          </cell>
          <cell r="U44">
            <v>1</v>
          </cell>
        </row>
        <row r="45">
          <cell r="F45" t="str">
            <v/>
          </cell>
          <cell r="P45">
            <v>0</v>
          </cell>
          <cell r="Q45">
            <v>1</v>
          </cell>
          <cell r="R45" t="str">
            <v/>
          </cell>
          <cell r="S45">
            <v>1</v>
          </cell>
          <cell r="T45">
            <v>0</v>
          </cell>
          <cell r="U45">
            <v>1</v>
          </cell>
        </row>
        <row r="46">
          <cell r="F46" t="str">
            <v/>
          </cell>
        </row>
        <row r="49">
          <cell r="C49" t="str">
            <v/>
          </cell>
        </row>
        <row r="50">
          <cell r="C50" t="str">
            <v>Detail Requirements</v>
          </cell>
          <cell r="F50" t="str">
            <v>Desirability, d</v>
          </cell>
          <cell r="L50" t="str">
            <v>Actual Level (StDev)</v>
          </cell>
        </row>
        <row r="51">
          <cell r="B51">
            <v>3.1</v>
          </cell>
          <cell r="F51" t="str">
            <v/>
          </cell>
          <cell r="P51">
            <v>0</v>
          </cell>
          <cell r="Q51">
            <v>1</v>
          </cell>
          <cell r="R51" t="str">
            <v/>
          </cell>
          <cell r="S51">
            <v>1</v>
          </cell>
          <cell r="T51">
            <v>0</v>
          </cell>
          <cell r="U51">
            <v>1</v>
          </cell>
        </row>
        <row r="52">
          <cell r="F52" t="str">
            <v/>
          </cell>
          <cell r="P52">
            <v>0</v>
          </cell>
          <cell r="Q52">
            <v>1</v>
          </cell>
          <cell r="R52" t="str">
            <v/>
          </cell>
          <cell r="S52">
            <v>1</v>
          </cell>
          <cell r="T52">
            <v>0</v>
          </cell>
          <cell r="U52">
            <v>1</v>
          </cell>
        </row>
        <row r="53">
          <cell r="F53" t="str">
            <v/>
          </cell>
        </row>
        <row r="56">
          <cell r="C56" t="str">
            <v/>
          </cell>
        </row>
        <row r="57">
          <cell r="C57" t="str">
            <v>Detail Requirements</v>
          </cell>
          <cell r="F57" t="str">
            <v>Desirability, d</v>
          </cell>
          <cell r="L57" t="str">
            <v>Actual Level (StDev)</v>
          </cell>
        </row>
        <row r="58">
          <cell r="B58">
            <v>4.0999999999999996</v>
          </cell>
          <cell r="F58" t="str">
            <v/>
          </cell>
          <cell r="P58">
            <v>0</v>
          </cell>
          <cell r="Q58">
            <v>1</v>
          </cell>
          <cell r="R58" t="str">
            <v/>
          </cell>
          <cell r="S58">
            <v>1</v>
          </cell>
          <cell r="T58">
            <v>0</v>
          </cell>
          <cell r="U58">
            <v>1</v>
          </cell>
        </row>
        <row r="59">
          <cell r="F59" t="str">
            <v/>
          </cell>
          <cell r="P59">
            <v>0</v>
          </cell>
          <cell r="Q59">
            <v>1</v>
          </cell>
          <cell r="R59" t="str">
            <v/>
          </cell>
          <cell r="S59">
            <v>1</v>
          </cell>
          <cell r="T59">
            <v>0</v>
          </cell>
          <cell r="U59">
            <v>1</v>
          </cell>
        </row>
        <row r="60">
          <cell r="F60" t="str">
            <v/>
          </cell>
        </row>
        <row r="63">
          <cell r="C63" t="str">
            <v/>
          </cell>
        </row>
        <row r="64">
          <cell r="C64" t="str">
            <v>Detail Requirements</v>
          </cell>
          <cell r="F64" t="str">
            <v>Desirability, d</v>
          </cell>
          <cell r="L64" t="str">
            <v>Actual Level (StDev)</v>
          </cell>
        </row>
        <row r="65">
          <cell r="B65">
            <v>5.0999999999999996</v>
          </cell>
          <cell r="F65" t="str">
            <v/>
          </cell>
          <cell r="P65">
            <v>0</v>
          </cell>
          <cell r="Q65">
            <v>1</v>
          </cell>
          <cell r="R65" t="str">
            <v/>
          </cell>
          <cell r="S65">
            <v>1</v>
          </cell>
          <cell r="T65">
            <v>0</v>
          </cell>
          <cell r="U65">
            <v>1</v>
          </cell>
        </row>
        <row r="66">
          <cell r="F66" t="str">
            <v/>
          </cell>
          <cell r="P66">
            <v>0</v>
          </cell>
          <cell r="Q66">
            <v>1</v>
          </cell>
          <cell r="R66" t="str">
            <v/>
          </cell>
          <cell r="S66">
            <v>1</v>
          </cell>
          <cell r="T66">
            <v>0</v>
          </cell>
          <cell r="U66">
            <v>1</v>
          </cell>
        </row>
        <row r="67">
          <cell r="F67" t="str">
            <v/>
          </cell>
        </row>
        <row r="70">
          <cell r="C70" t="str">
            <v/>
          </cell>
        </row>
        <row r="71">
          <cell r="C71" t="str">
            <v>Detail Requirements</v>
          </cell>
          <cell r="F71" t="str">
            <v>Desirability, d</v>
          </cell>
          <cell r="L71" t="str">
            <v>Actual Level (StDev)</v>
          </cell>
        </row>
        <row r="72">
          <cell r="B72">
            <v>6.1</v>
          </cell>
          <cell r="F72" t="str">
            <v/>
          </cell>
          <cell r="P72">
            <v>0</v>
          </cell>
          <cell r="Q72">
            <v>1</v>
          </cell>
          <cell r="R72" t="str">
            <v/>
          </cell>
          <cell r="S72">
            <v>1</v>
          </cell>
          <cell r="T72">
            <v>0</v>
          </cell>
          <cell r="U72">
            <v>1</v>
          </cell>
        </row>
        <row r="73">
          <cell r="F73" t="str">
            <v/>
          </cell>
          <cell r="P73">
            <v>0</v>
          </cell>
          <cell r="Q73">
            <v>1</v>
          </cell>
          <cell r="R73" t="str">
            <v/>
          </cell>
          <cell r="S73">
            <v>1</v>
          </cell>
          <cell r="T73">
            <v>0</v>
          </cell>
          <cell r="U73">
            <v>1</v>
          </cell>
        </row>
        <row r="74">
          <cell r="F74" t="str">
            <v/>
          </cell>
        </row>
        <row r="77">
          <cell r="C77" t="str">
            <v/>
          </cell>
        </row>
        <row r="78">
          <cell r="C78" t="str">
            <v>Detail Requirements</v>
          </cell>
          <cell r="F78" t="str">
            <v>Desirability, d</v>
          </cell>
          <cell r="L78" t="str">
            <v>Actual Level (StDev)</v>
          </cell>
        </row>
        <row r="79">
          <cell r="B79">
            <v>7.1</v>
          </cell>
          <cell r="F79" t="str">
            <v/>
          </cell>
          <cell r="P79">
            <v>0</v>
          </cell>
          <cell r="Q79">
            <v>1</v>
          </cell>
          <cell r="R79" t="str">
            <v/>
          </cell>
          <cell r="S79">
            <v>1</v>
          </cell>
          <cell r="T79">
            <v>0</v>
          </cell>
          <cell r="U79">
            <v>1</v>
          </cell>
        </row>
        <row r="80">
          <cell r="F80" t="str">
            <v/>
          </cell>
          <cell r="P80">
            <v>0</v>
          </cell>
          <cell r="Q80">
            <v>1</v>
          </cell>
          <cell r="R80" t="str">
            <v/>
          </cell>
          <cell r="S80">
            <v>1</v>
          </cell>
          <cell r="T80">
            <v>0</v>
          </cell>
          <cell r="U80">
            <v>1</v>
          </cell>
        </row>
        <row r="81">
          <cell r="F81" t="str">
            <v/>
          </cell>
        </row>
        <row r="84">
          <cell r="C84" t="str">
            <v/>
          </cell>
        </row>
        <row r="85">
          <cell r="C85" t="str">
            <v>Detail Requirements</v>
          </cell>
          <cell r="F85" t="str">
            <v>Desirability, d</v>
          </cell>
          <cell r="L85" t="str">
            <v>Actual Level (StDev)</v>
          </cell>
        </row>
        <row r="86">
          <cell r="B86">
            <v>8.1</v>
          </cell>
          <cell r="F86" t="str">
            <v/>
          </cell>
          <cell r="P86">
            <v>0</v>
          </cell>
          <cell r="Q86">
            <v>1</v>
          </cell>
          <cell r="R86" t="str">
            <v/>
          </cell>
          <cell r="S86">
            <v>1</v>
          </cell>
          <cell r="T86">
            <v>0</v>
          </cell>
          <cell r="U86">
            <v>1</v>
          </cell>
        </row>
        <row r="87">
          <cell r="F87" t="str">
            <v/>
          </cell>
          <cell r="P87">
            <v>0</v>
          </cell>
          <cell r="Q87">
            <v>1</v>
          </cell>
          <cell r="R87" t="str">
            <v/>
          </cell>
          <cell r="S87">
            <v>1</v>
          </cell>
          <cell r="T87">
            <v>0</v>
          </cell>
          <cell r="U87">
            <v>1</v>
          </cell>
        </row>
        <row r="88">
          <cell r="F88" t="str">
            <v/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AB2">
            <v>1</v>
          </cell>
        </row>
      </sheetData>
      <sheetData sheetId="28">
        <row r="2">
          <cell r="AB2" t="e">
            <v>#DIV/0!</v>
          </cell>
        </row>
      </sheetData>
      <sheetData sheetId="29">
        <row r="2">
          <cell r="AB2" t="e">
            <v>#DIV/0!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3">
          <cell r="I3" t="str">
            <v>Other Generic Assumptions</v>
          </cell>
        </row>
        <row r="9">
          <cell r="G9" t="str">
            <v>+/- t</v>
          </cell>
          <cell r="I9" t="str">
            <v>Lower (LSL)</v>
          </cell>
          <cell r="J9" t="str">
            <v>Upper (USL)</v>
          </cell>
        </row>
        <row r="13">
          <cell r="G13" t="str">
            <v>+/- t</v>
          </cell>
          <cell r="I13" t="str">
            <v>tLOWER (-)</v>
          </cell>
          <cell r="J13" t="str">
            <v>tUPPER (+)</v>
          </cell>
        </row>
        <row r="27">
          <cell r="I27" t="str">
            <v/>
          </cell>
          <cell r="J27" t="str">
            <v/>
          </cell>
        </row>
        <row r="31">
          <cell r="I31" t="str">
            <v/>
          </cell>
        </row>
        <row r="32">
          <cell r="I32" t="str">
            <v>LSL</v>
          </cell>
          <cell r="J32" t="str">
            <v>USL</v>
          </cell>
        </row>
        <row r="35">
          <cell r="I35" t="str">
            <v>% &lt; LSL</v>
          </cell>
          <cell r="J35" t="str">
            <v>% &gt; USL</v>
          </cell>
        </row>
        <row r="36">
          <cell r="I36" t="str">
            <v/>
          </cell>
          <cell r="J36" t="str">
            <v/>
          </cell>
        </row>
      </sheetData>
      <sheetData sheetId="4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AIC"/>
      <sheetName val="Breakthrough Strategy"/>
      <sheetName val="SS Project Plan"/>
      <sheetName val="Project Action Plan"/>
      <sheetName val="CTQ Template"/>
      <sheetName val="SIPOC"/>
      <sheetName val="SIPOC (blank)"/>
      <sheetName val="Process Analysis"/>
      <sheetName val="Fishbone"/>
      <sheetName val="Brainstorm "/>
      <sheetName val="FDM"/>
      <sheetName val="Risk Assessment"/>
      <sheetName val="Solution Evaluation Form"/>
      <sheetName val="Data Collection Plan"/>
      <sheetName val="Xs and Ys"/>
      <sheetName val="Timeline"/>
      <sheetName val="DOE 2^2 template"/>
      <sheetName val="DOE 2^3 template"/>
      <sheetName val="PPM"/>
      <sheetName val="no shift"/>
      <sheetName val="RTY"/>
      <sheetName val="DPMO Calculator"/>
      <sheetName val="DPMO&gt;Sig&gt;Cpk"/>
      <sheetName val="Six Sigma Project"/>
      <sheetName val="GC Plan"/>
      <sheetName val="HOQ"/>
      <sheetName val="C&amp;E Matrix"/>
      <sheetName val="FMEAInfo"/>
      <sheetName val="FMEA"/>
      <sheetName val="FSeverity"/>
      <sheetName val="FOccurance"/>
      <sheetName val="FDetection"/>
      <sheetName val="ControlPlan"/>
      <sheetName val="Process Control Plan"/>
      <sheetName val="SS Prvnt Mnt"/>
      <sheetName val="Outputs"/>
      <sheetName val="DFMEA Template"/>
      <sheetName val="Z-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">
          <cell r="B11">
            <v>8.3333333333333321</v>
          </cell>
          <cell r="C11">
            <v>-5</v>
          </cell>
          <cell r="D11">
            <v>1.6666666666666679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-Down"/>
      <sheetName val="Six Sigma Project"/>
    </sheetNames>
    <sheetDataSet>
      <sheetData sheetId="0">
        <row r="2">
          <cell r="A2" t="str">
            <v>Complete</v>
          </cell>
        </row>
        <row r="3">
          <cell r="A3" t="str">
            <v>Working</v>
          </cell>
        </row>
        <row r="4">
          <cell r="A4" t="str">
            <v>Rescheduled</v>
          </cell>
        </row>
        <row r="5">
          <cell r="A5" t="str">
            <v>Canceled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s"/>
      <sheetName val="usrWks_DataSheet"/>
      <sheetName val="tmlWks_test variance - standard"/>
      <sheetName val="tmlWks_test two variances"/>
      <sheetName val="tmlWks_test two means - ind"/>
      <sheetName val="tmlWks_test paired data"/>
      <sheetName val="tmlWks_Tool Roadmap"/>
      <sheetName val="tmlWks_DPM Calculator"/>
      <sheetName val="tmlWks_Sigma Level Converter"/>
      <sheetName val="tmlWks_Project Charter"/>
      <sheetName val="tmlWks_GageRR"/>
      <sheetName val="tmlWks_Repeated Meas Study"/>
      <sheetName val="tmlWks_Attribute Matching Study"/>
      <sheetName val="tmlWks_Control Plan"/>
      <sheetName val="tmlWks_FMEA"/>
      <sheetName val="rptWks_OutlierReport"/>
      <sheetName val="rptWks_ClusterAnalysis"/>
      <sheetName val="rptWks_Multi-DimensionAnalysis"/>
      <sheetName val="wksMultiBoxPlot"/>
      <sheetName val="wksParetoOLD"/>
      <sheetName val="wksPareto"/>
      <sheetName val="wksXbar-Range"/>
      <sheetName val="wksP-Chart"/>
      <sheetName val="wksHistogram"/>
      <sheetName val="wksCapAnalysis"/>
      <sheetName val="wksScatterPlot"/>
      <sheetName val="wksRunChart"/>
      <sheetName val="wksCommandB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AE2" t="e">
            <v>#DIV/0!</v>
          </cell>
        </row>
      </sheetData>
      <sheetData sheetId="26"/>
      <sheetData sheetId="2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"/>
      <sheetName val="Chart"/>
      <sheetName val="Standards"/>
      <sheetName val="Implementation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>
        <row r="1">
          <cell r="J1" t="str">
            <v xml:space="preserve">Work Place Organization </v>
          </cell>
        </row>
        <row r="37">
          <cell r="A37" t="str">
            <v>Area:</v>
          </cell>
        </row>
        <row r="38">
          <cell r="A38" t="str">
            <v>Auditor(s):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E7F07B-5522-49A0-B7C2-741B27D0DEAC}" name="Tabla10" displayName="Tabla10" ref="B6:H17" totalsRowCount="1" headerRowDxfId="17" dataDxfId="16" totalsRowDxfId="14" tableBorderDxfId="15">
  <tableColumns count="7">
    <tableColumn id="7" xr3:uid="{DCE46A7A-937C-47E8-9C9A-0AE2E6522E56}" name="PROCESS" totalsRowLabel="TOTAL" dataDxfId="13" totalsRowDxfId="12"/>
    <tableColumn id="1" xr3:uid="{630753C3-3451-4D3C-8095-12C32362F86F}" name="UNITS INSPECTED" totalsRowFunction="countNums" dataDxfId="11" totalsRowDxfId="10"/>
    <tableColumn id="2" xr3:uid="{F0388D79-BAB0-493C-B490-ABD9DEA879DA}" name="RAYONES" totalsRowFunction="sum" dataDxfId="9" totalsRowDxfId="8"/>
    <tableColumn id="3" xr3:uid="{71EE2606-A4A1-44F3-A5C7-545546A45E5A}" name="DEFORMACION" totalsRowFunction="sum" dataDxfId="7" totalsRowDxfId="6"/>
    <tableColumn id="4" xr3:uid="{6DB3BD21-D5D3-4AA6-AA2F-448DF9EC82A5}" name="EXCESO DE MATERIAL" totalsRowFunction="sum" dataDxfId="5" totalsRowDxfId="4"/>
    <tableColumn id="5" xr3:uid="{176DA5A4-A712-4127-A453-20B975031C9C}" name="FALTA MATERIAL" totalsRowFunction="sum" dataDxfId="3" totalsRowDxfId="2"/>
    <tableColumn id="6" xr3:uid="{2B7D005D-E982-42DD-8DD6-48B02999D1B1}" name="TOTAL DEFECTS" totalsRowFunction="sum" dataDxfId="1" totalsRowDxfId="0">
      <calculatedColumnFormula>SUM(D7:G7)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2030-B15A-4466-9D61-7DAB3DE097C7}">
  <dimension ref="B1:AG50"/>
  <sheetViews>
    <sheetView showGridLines="0" tabSelected="1" zoomScale="50" zoomScaleNormal="50" workbookViewId="0">
      <selection activeCell="G33" sqref="G33"/>
    </sheetView>
  </sheetViews>
  <sheetFormatPr baseColWidth="10" defaultColWidth="9.140625" defaultRowHeight="15" x14ac:dyDescent="0.25"/>
  <cols>
    <col min="1" max="1" width="4.5703125" customWidth="1"/>
    <col min="2" max="2" width="28.85546875" customWidth="1"/>
  </cols>
  <sheetData>
    <row r="1" spans="2:33" ht="15.75" thickBot="1" x14ac:dyDescent="0.3"/>
    <row r="2" spans="2:33" ht="33.75" customHeight="1" thickBot="1" x14ac:dyDescent="0.3">
      <c r="B2" s="307" t="s">
        <v>0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9"/>
    </row>
    <row r="3" spans="2:33" ht="19.5" customHeight="1" x14ac:dyDescent="0.25">
      <c r="B3" s="168" t="s">
        <v>1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70"/>
    </row>
    <row r="4" spans="2:33" ht="15.75" thickBot="1" x14ac:dyDescent="0.3">
      <c r="B4" s="171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3"/>
    </row>
    <row r="5" spans="2:33" ht="16.5" customHeight="1" thickBot="1" x14ac:dyDescent="0.3">
      <c r="B5" s="174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6"/>
    </row>
    <row r="6" spans="2:33" ht="27" thickBot="1" x14ac:dyDescent="0.3">
      <c r="B6" s="11" t="s">
        <v>7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8"/>
    </row>
    <row r="7" spans="2:33" x14ac:dyDescent="0.25">
      <c r="B7" s="179" t="s">
        <v>2</v>
      </c>
      <c r="C7" s="1"/>
      <c r="D7" s="2"/>
      <c r="E7" s="2"/>
      <c r="F7" s="2"/>
      <c r="G7" s="2"/>
      <c r="H7" s="3"/>
      <c r="I7" s="1"/>
      <c r="J7" s="2"/>
      <c r="K7" s="2"/>
      <c r="L7" s="2"/>
      <c r="M7" s="3"/>
      <c r="N7" s="1"/>
      <c r="O7" s="2"/>
      <c r="P7" s="2"/>
      <c r="Q7" s="2"/>
      <c r="R7" s="3"/>
      <c r="S7" s="1"/>
      <c r="T7" s="2"/>
      <c r="U7" s="2"/>
      <c r="V7" s="2"/>
      <c r="W7" s="3"/>
      <c r="X7" s="1"/>
      <c r="Y7" s="2"/>
      <c r="Z7" s="2"/>
      <c r="AA7" s="2"/>
      <c r="AB7" s="3"/>
      <c r="AC7" s="4"/>
      <c r="AD7" s="4"/>
      <c r="AE7" s="4"/>
      <c r="AF7" s="4"/>
      <c r="AG7" s="5"/>
    </row>
    <row r="8" spans="2:33" x14ac:dyDescent="0.25">
      <c r="B8" s="180"/>
      <c r="C8" s="6"/>
      <c r="D8" s="4"/>
      <c r="E8" s="4"/>
      <c r="F8" s="4"/>
      <c r="G8" s="4"/>
      <c r="H8" s="5"/>
      <c r="I8" s="6"/>
      <c r="J8" s="4"/>
      <c r="K8" s="4"/>
      <c r="L8" s="4"/>
      <c r="M8" s="5"/>
      <c r="N8" s="6"/>
      <c r="O8" s="4"/>
      <c r="P8" s="4"/>
      <c r="Q8" s="4"/>
      <c r="R8" s="5"/>
      <c r="S8" s="6"/>
      <c r="T8" s="4"/>
      <c r="U8" s="4"/>
      <c r="V8" s="4"/>
      <c r="W8" s="5"/>
      <c r="X8" s="6"/>
      <c r="Y8" s="4"/>
      <c r="Z8" s="4"/>
      <c r="AA8" s="4"/>
      <c r="AB8" s="5"/>
      <c r="AC8" s="4"/>
      <c r="AD8" s="4"/>
      <c r="AE8" s="4"/>
      <c r="AF8" s="4"/>
      <c r="AG8" s="5"/>
    </row>
    <row r="9" spans="2:33" x14ac:dyDescent="0.25">
      <c r="B9" s="180"/>
      <c r="C9" s="6"/>
      <c r="D9" s="4"/>
      <c r="E9" s="4"/>
      <c r="F9" s="4"/>
      <c r="G9" s="4"/>
      <c r="H9" s="5"/>
      <c r="I9" s="6"/>
      <c r="J9" s="4"/>
      <c r="K9" s="4"/>
      <c r="L9" s="4"/>
      <c r="M9" s="5"/>
      <c r="N9" s="6"/>
      <c r="O9" s="4"/>
      <c r="P9" s="4"/>
      <c r="Q9" s="4"/>
      <c r="R9" s="5"/>
      <c r="S9" s="6"/>
      <c r="T9" s="4"/>
      <c r="U9" s="4"/>
      <c r="V9" s="4"/>
      <c r="W9" s="5"/>
      <c r="X9" s="6"/>
      <c r="Y9" s="4"/>
      <c r="Z9" s="4"/>
      <c r="AA9" s="4"/>
      <c r="AB9" s="5"/>
      <c r="AC9" s="4"/>
      <c r="AD9" s="4"/>
      <c r="AE9" s="4"/>
      <c r="AF9" s="4"/>
      <c r="AG9" s="5"/>
    </row>
    <row r="10" spans="2:33" x14ac:dyDescent="0.25">
      <c r="B10" s="180"/>
      <c r="C10" s="6"/>
      <c r="D10" s="4"/>
      <c r="E10" s="4"/>
      <c r="F10" s="4"/>
      <c r="G10" s="4"/>
      <c r="H10" s="5"/>
      <c r="I10" s="6"/>
      <c r="J10" s="4"/>
      <c r="K10" s="4"/>
      <c r="L10" s="4"/>
      <c r="M10" s="5"/>
      <c r="N10" s="6"/>
      <c r="O10" s="4"/>
      <c r="P10" s="4"/>
      <c r="Q10" s="4"/>
      <c r="R10" s="5"/>
      <c r="S10" s="6"/>
      <c r="T10" s="4"/>
      <c r="U10" s="4"/>
      <c r="V10" s="4"/>
      <c r="W10" s="5"/>
      <c r="X10" s="6"/>
      <c r="Y10" s="4"/>
      <c r="Z10" s="4"/>
      <c r="AA10" s="4"/>
      <c r="AB10" s="5"/>
      <c r="AC10" s="4"/>
      <c r="AD10" s="4"/>
      <c r="AE10" s="4"/>
      <c r="AF10" s="4"/>
      <c r="AG10" s="5"/>
    </row>
    <row r="11" spans="2:33" ht="15.75" thickBot="1" x14ac:dyDescent="0.3">
      <c r="B11" s="181"/>
      <c r="C11" s="7"/>
      <c r="D11" s="8"/>
      <c r="E11" s="8"/>
      <c r="F11" s="8"/>
      <c r="G11" s="8"/>
      <c r="H11" s="9"/>
      <c r="I11" s="7"/>
      <c r="J11" s="8"/>
      <c r="K11" s="8"/>
      <c r="L11" s="8"/>
      <c r="M11" s="9"/>
      <c r="N11" s="7"/>
      <c r="O11" s="8"/>
      <c r="P11" s="8"/>
      <c r="Q11" s="8"/>
      <c r="R11" s="9"/>
      <c r="S11" s="7"/>
      <c r="T11" s="8"/>
      <c r="U11" s="8"/>
      <c r="V11" s="8"/>
      <c r="W11" s="9"/>
      <c r="X11" s="7"/>
      <c r="Y11" s="8"/>
      <c r="Z11" s="8"/>
      <c r="AA11" s="8"/>
      <c r="AB11" s="9"/>
      <c r="AC11" s="4"/>
      <c r="AD11" s="4"/>
      <c r="AE11" s="4"/>
      <c r="AF11" s="4"/>
      <c r="AG11" s="5"/>
    </row>
    <row r="12" spans="2:33" x14ac:dyDescent="0.25">
      <c r="B12" s="182" t="s">
        <v>3</v>
      </c>
      <c r="C12" s="184" t="s">
        <v>4</v>
      </c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6"/>
    </row>
    <row r="13" spans="2:33" ht="15.75" thickBot="1" x14ac:dyDescent="0.3">
      <c r="B13" s="183"/>
      <c r="C13" s="187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9"/>
    </row>
    <row r="14" spans="2:33" ht="17.45" customHeight="1" x14ac:dyDescent="0.25">
      <c r="B14" s="160" t="s">
        <v>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2:33" ht="17.45" customHeight="1" x14ac:dyDescent="0.25">
      <c r="B15" s="16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5"/>
    </row>
    <row r="16" spans="2:33" ht="17.45" customHeight="1" x14ac:dyDescent="0.25">
      <c r="B16" s="16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5"/>
    </row>
    <row r="17" spans="2:33" ht="17.45" customHeight="1" thickBot="1" x14ac:dyDescent="0.3">
      <c r="B17" s="16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9"/>
    </row>
    <row r="18" spans="2:33" ht="17.45" customHeight="1" x14ac:dyDescent="0.25">
      <c r="B18" s="160" t="s">
        <v>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3"/>
    </row>
    <row r="19" spans="2:33" ht="17.45" customHeight="1" x14ac:dyDescent="0.25">
      <c r="B19" s="16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5"/>
    </row>
    <row r="20" spans="2:33" ht="17.45" customHeight="1" x14ac:dyDescent="0.25">
      <c r="B20" s="161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5"/>
    </row>
    <row r="21" spans="2:33" ht="17.45" customHeight="1" thickBot="1" x14ac:dyDescent="0.3">
      <c r="B21" s="162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9"/>
    </row>
    <row r="22" spans="2:33" ht="17.45" customHeight="1" x14ac:dyDescent="0.25">
      <c r="B22" s="160" t="s">
        <v>10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2:33" ht="17.45" customHeight="1" x14ac:dyDescent="0.25">
      <c r="B23" s="161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5"/>
    </row>
    <row r="24" spans="2:33" ht="17.45" customHeight="1" x14ac:dyDescent="0.25">
      <c r="B24" s="161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5"/>
    </row>
    <row r="25" spans="2:33" ht="17.45" customHeight="1" thickBot="1" x14ac:dyDescent="0.3">
      <c r="B25" s="16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9"/>
    </row>
    <row r="26" spans="2:33" ht="17.45" customHeight="1" x14ac:dyDescent="0.25">
      <c r="B26" s="160" t="s">
        <v>11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3"/>
    </row>
    <row r="27" spans="2:33" ht="17.45" customHeight="1" x14ac:dyDescent="0.25">
      <c r="B27" s="16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5"/>
    </row>
    <row r="28" spans="2:33" ht="17.45" customHeight="1" x14ac:dyDescent="0.25">
      <c r="B28" s="161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5"/>
    </row>
    <row r="29" spans="2:33" ht="17.45" customHeight="1" thickBot="1" x14ac:dyDescent="0.3">
      <c r="B29" s="162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9"/>
    </row>
    <row r="30" spans="2:33" ht="17.45" customHeight="1" x14ac:dyDescent="0.25">
      <c r="B30" s="160" t="s">
        <v>12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3"/>
    </row>
    <row r="31" spans="2:33" ht="17.45" customHeight="1" x14ac:dyDescent="0.25">
      <c r="B31" s="16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5"/>
    </row>
    <row r="32" spans="2:33" ht="17.45" customHeight="1" x14ac:dyDescent="0.25">
      <c r="B32" s="16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5"/>
    </row>
    <row r="33" spans="2:33" ht="17.45" customHeight="1" thickBot="1" x14ac:dyDescent="0.3">
      <c r="B33" s="162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9"/>
    </row>
    <row r="34" spans="2:33" ht="17.45" customHeight="1" x14ac:dyDescent="0.25">
      <c r="B34" s="160" t="s">
        <v>13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3"/>
    </row>
    <row r="35" spans="2:33" ht="17.45" customHeight="1" x14ac:dyDescent="0.25">
      <c r="B35" s="161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5"/>
    </row>
    <row r="36" spans="2:33" ht="17.45" customHeight="1" x14ac:dyDescent="0.25">
      <c r="B36" s="16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5"/>
    </row>
    <row r="37" spans="2:33" ht="17.45" customHeight="1" thickBot="1" x14ac:dyDescent="0.3">
      <c r="B37" s="162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9"/>
    </row>
    <row r="38" spans="2:33" ht="15" customHeight="1" x14ac:dyDescent="0.25">
      <c r="B38" s="160" t="s">
        <v>14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3"/>
    </row>
    <row r="39" spans="2:33" ht="15" customHeight="1" x14ac:dyDescent="0.25">
      <c r="B39" s="161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5"/>
    </row>
    <row r="40" spans="2:33" ht="15" customHeight="1" x14ac:dyDescent="0.25">
      <c r="B40" s="161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5"/>
    </row>
    <row r="41" spans="2:33" ht="15.75" customHeight="1" thickBot="1" x14ac:dyDescent="0.3">
      <c r="B41" s="162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9"/>
    </row>
    <row r="42" spans="2:33" ht="15" customHeight="1" x14ac:dyDescent="0.25">
      <c r="B42" s="160" t="s">
        <v>15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3"/>
    </row>
    <row r="43" spans="2:33" ht="15" customHeight="1" x14ac:dyDescent="0.25">
      <c r="B43" s="161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5"/>
    </row>
    <row r="44" spans="2:33" ht="15" customHeight="1" x14ac:dyDescent="0.25">
      <c r="B44" s="161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5"/>
    </row>
    <row r="45" spans="2:33" ht="15.75" customHeight="1" thickBot="1" x14ac:dyDescent="0.3">
      <c r="B45" s="161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5"/>
    </row>
    <row r="46" spans="2:33" ht="15.75" customHeight="1" thickBot="1" x14ac:dyDescent="0.3">
      <c r="B46" s="157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9"/>
    </row>
    <row r="47" spans="2:33" ht="21.75" thickBot="1" x14ac:dyDescent="0.35">
      <c r="B47" s="12" t="s">
        <v>5</v>
      </c>
      <c r="C47" s="151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3"/>
    </row>
    <row r="48" spans="2:33" ht="21.75" thickBot="1" x14ac:dyDescent="0.3">
      <c r="B48" s="13" t="s">
        <v>6</v>
      </c>
      <c r="C48" s="163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5"/>
    </row>
    <row r="49" spans="2:33" ht="21.75" thickBot="1" x14ac:dyDescent="0.3">
      <c r="B49" s="13" t="s">
        <v>27</v>
      </c>
      <c r="C49" s="154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66"/>
      <c r="AD49" s="166"/>
      <c r="AE49" s="166"/>
      <c r="AF49" s="166"/>
      <c r="AG49" s="167"/>
    </row>
    <row r="50" spans="2:33" ht="48" customHeight="1" thickBot="1" x14ac:dyDescent="0.3">
      <c r="B50" s="59" t="s">
        <v>28</v>
      </c>
      <c r="C50" s="154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6"/>
    </row>
  </sheetData>
  <mergeCells count="20">
    <mergeCell ref="B34:B37"/>
    <mergeCell ref="B2:AG2"/>
    <mergeCell ref="B3:AG4"/>
    <mergeCell ref="B5:AG5"/>
    <mergeCell ref="C6:AG6"/>
    <mergeCell ref="B7:B11"/>
    <mergeCell ref="B12:B13"/>
    <mergeCell ref="C12:AG13"/>
    <mergeCell ref="B14:B17"/>
    <mergeCell ref="B18:B21"/>
    <mergeCell ref="B22:B25"/>
    <mergeCell ref="B26:B29"/>
    <mergeCell ref="B30:B33"/>
    <mergeCell ref="C47:AG47"/>
    <mergeCell ref="C50:AG50"/>
    <mergeCell ref="B46:AG46"/>
    <mergeCell ref="B38:B41"/>
    <mergeCell ref="B42:B45"/>
    <mergeCell ref="C48:AG48"/>
    <mergeCell ref="C49:AG49"/>
  </mergeCells>
  <phoneticPr fontId="8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3F1C-056F-4B3C-8687-B5B76DD6F86D}">
  <dimension ref="B1:Q50"/>
  <sheetViews>
    <sheetView zoomScale="60" zoomScaleNormal="60" workbookViewId="0">
      <selection activeCell="G6" sqref="G6:H43"/>
    </sheetView>
  </sheetViews>
  <sheetFormatPr baseColWidth="10" defaultColWidth="9.140625" defaultRowHeight="12.75" x14ac:dyDescent="0.2"/>
  <cols>
    <col min="1" max="1" width="5" style="14" customWidth="1"/>
    <col min="2" max="2" width="10.28515625" style="14" customWidth="1"/>
    <col min="3" max="3" width="19.140625" style="15" customWidth="1"/>
    <col min="4" max="4" width="20.5703125" style="14" customWidth="1"/>
    <col min="5" max="5" width="17.42578125" style="14" bestFit="1" customWidth="1"/>
    <col min="6" max="6" width="18.28515625" style="14" customWidth="1"/>
    <col min="7" max="8" width="12.5703125" style="14" customWidth="1"/>
    <col min="9" max="9" width="19.28515625" style="14" customWidth="1"/>
    <col min="10" max="10" width="25.5703125" style="14" customWidth="1"/>
    <col min="11" max="11" width="19.28515625" style="14" customWidth="1"/>
    <col min="12" max="12" width="30.28515625" style="14" customWidth="1"/>
    <col min="13" max="13" width="21.85546875" style="14" customWidth="1"/>
    <col min="14" max="14" width="20.42578125" style="14" customWidth="1"/>
    <col min="15" max="15" width="31.42578125" style="14" customWidth="1"/>
    <col min="16" max="16" width="31.85546875" style="14" customWidth="1"/>
    <col min="17" max="17" width="22.140625" style="14" customWidth="1"/>
    <col min="18" max="16384" width="9.140625" style="14"/>
  </cols>
  <sheetData>
    <row r="1" spans="2:17" ht="13.5" thickBot="1" x14ac:dyDescent="0.25"/>
    <row r="2" spans="2:17" ht="24" customHeight="1" thickBot="1" x14ac:dyDescent="0.25">
      <c r="B2" s="207" t="s">
        <v>26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9"/>
    </row>
    <row r="3" spans="2:17" ht="24" customHeight="1" thickBot="1" x14ac:dyDescent="0.25">
      <c r="B3" s="210" t="s">
        <v>16</v>
      </c>
      <c r="C3" s="211"/>
      <c r="D3" s="212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4"/>
    </row>
    <row r="4" spans="2:17" ht="23.25" customHeight="1" thickBot="1" x14ac:dyDescent="0.25">
      <c r="B4" s="215" t="s">
        <v>17</v>
      </c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7"/>
    </row>
    <row r="5" spans="2:17" s="16" customFormat="1" ht="40.5" customHeight="1" thickBot="1" x14ac:dyDescent="0.25">
      <c r="B5" s="60" t="s">
        <v>18</v>
      </c>
      <c r="C5" s="60" t="s">
        <v>19</v>
      </c>
      <c r="D5" s="60" t="s">
        <v>20</v>
      </c>
      <c r="E5" s="60" t="s">
        <v>21</v>
      </c>
      <c r="F5" s="60" t="s">
        <v>22</v>
      </c>
      <c r="G5" s="218" t="s">
        <v>23</v>
      </c>
      <c r="H5" s="219"/>
      <c r="I5" s="61" t="s">
        <v>24</v>
      </c>
      <c r="J5" s="60" t="s">
        <v>20</v>
      </c>
      <c r="K5" s="60" t="s">
        <v>21</v>
      </c>
      <c r="L5" s="62" t="s">
        <v>29</v>
      </c>
      <c r="M5" s="60" t="s">
        <v>30</v>
      </c>
      <c r="N5" s="60" t="s">
        <v>31</v>
      </c>
      <c r="O5" s="60" t="s">
        <v>32</v>
      </c>
      <c r="P5" s="60" t="s">
        <v>28</v>
      </c>
      <c r="Q5" s="17"/>
    </row>
    <row r="6" spans="2:17" ht="13.5" customHeight="1" x14ac:dyDescent="0.2">
      <c r="B6" s="204"/>
      <c r="C6" s="18"/>
      <c r="D6" s="19"/>
      <c r="E6" s="19"/>
      <c r="F6" s="19"/>
      <c r="G6" s="193"/>
      <c r="H6" s="194"/>
      <c r="I6" s="19"/>
      <c r="J6" s="19"/>
      <c r="K6" s="20"/>
      <c r="L6" s="20"/>
      <c r="M6" s="19"/>
      <c r="N6" s="19"/>
      <c r="O6" s="19"/>
      <c r="P6" s="21"/>
    </row>
    <row r="7" spans="2:17" ht="12.75" customHeight="1" x14ac:dyDescent="0.2">
      <c r="B7" s="192"/>
      <c r="C7" s="23"/>
      <c r="D7" s="23"/>
      <c r="E7" s="23"/>
      <c r="F7" s="23"/>
      <c r="G7" s="195"/>
      <c r="H7" s="196"/>
      <c r="I7" s="192"/>
      <c r="J7" s="191"/>
      <c r="K7" s="191"/>
      <c r="L7" s="25"/>
      <c r="M7" s="25"/>
      <c r="N7" s="25"/>
      <c r="O7" s="25"/>
      <c r="P7" s="26"/>
    </row>
    <row r="8" spans="2:17" ht="15" customHeight="1" x14ac:dyDescent="0.2">
      <c r="B8" s="192"/>
      <c r="C8" s="22"/>
      <c r="D8" s="22"/>
      <c r="E8" s="23"/>
      <c r="F8" s="23"/>
      <c r="G8" s="195"/>
      <c r="H8" s="196"/>
      <c r="I8" s="192"/>
      <c r="J8" s="191"/>
      <c r="K8" s="191"/>
      <c r="L8" s="27"/>
      <c r="M8" s="25"/>
      <c r="N8" s="25"/>
      <c r="O8" s="25"/>
      <c r="P8" s="50"/>
    </row>
    <row r="9" spans="2:17" ht="30.6" customHeight="1" x14ac:dyDescent="0.2">
      <c r="B9" s="192"/>
      <c r="C9" s="25"/>
      <c r="D9" s="25"/>
      <c r="E9" s="27"/>
      <c r="F9" s="27"/>
      <c r="G9" s="195"/>
      <c r="H9" s="196"/>
      <c r="I9" s="192"/>
      <c r="J9" s="191"/>
      <c r="K9" s="191"/>
      <c r="L9" s="25"/>
      <c r="M9" s="25"/>
      <c r="N9" s="25"/>
      <c r="O9" s="25"/>
      <c r="P9" s="26"/>
    </row>
    <row r="10" spans="2:17" ht="15.75" customHeight="1" thickBot="1" x14ac:dyDescent="0.25">
      <c r="B10" s="206"/>
      <c r="C10" s="28"/>
      <c r="D10" s="29"/>
      <c r="E10" s="30"/>
      <c r="F10" s="30"/>
      <c r="G10" s="195"/>
      <c r="H10" s="196"/>
      <c r="I10" s="31"/>
      <c r="J10" s="28"/>
      <c r="K10" s="32"/>
      <c r="L10" s="32"/>
      <c r="M10" s="33"/>
      <c r="N10" s="33"/>
      <c r="O10" s="33"/>
      <c r="P10" s="31"/>
    </row>
    <row r="11" spans="2:17" ht="17.25" customHeight="1" x14ac:dyDescent="0.2">
      <c r="B11" s="34"/>
      <c r="C11" s="35"/>
      <c r="D11" s="36"/>
      <c r="E11" s="37"/>
      <c r="F11" s="37"/>
      <c r="G11" s="195"/>
      <c r="H11" s="196"/>
      <c r="I11" s="21"/>
      <c r="J11" s="21"/>
      <c r="K11" s="38"/>
      <c r="L11" s="38"/>
      <c r="M11" s="21"/>
      <c r="N11" s="21"/>
      <c r="O11" s="21"/>
      <c r="P11" s="21"/>
    </row>
    <row r="12" spans="2:17" ht="28.5" customHeight="1" x14ac:dyDescent="0.2">
      <c r="B12" s="192"/>
      <c r="C12" s="22"/>
      <c r="D12" s="25"/>
      <c r="E12" s="27"/>
      <c r="F12" s="23"/>
      <c r="G12" s="195"/>
      <c r="H12" s="196"/>
      <c r="I12" s="26"/>
      <c r="J12" s="26"/>
      <c r="K12" s="24"/>
      <c r="L12" s="24"/>
      <c r="M12" s="26"/>
      <c r="N12" s="26"/>
      <c r="O12" s="26"/>
      <c r="P12" s="26"/>
    </row>
    <row r="13" spans="2:17" ht="15" customHeight="1" x14ac:dyDescent="0.2">
      <c r="B13" s="192"/>
      <c r="C13" s="22"/>
      <c r="D13" s="39"/>
      <c r="E13" s="23"/>
      <c r="F13" s="23"/>
      <c r="G13" s="195"/>
      <c r="H13" s="196"/>
      <c r="I13" s="192"/>
      <c r="J13" s="22"/>
      <c r="K13" s="41"/>
      <c r="L13" s="41"/>
      <c r="M13" s="22"/>
      <c r="N13" s="22"/>
      <c r="O13" s="22"/>
      <c r="P13" s="190"/>
    </row>
    <row r="14" spans="2:17" ht="15" customHeight="1" x14ac:dyDescent="0.2">
      <c r="B14" s="192"/>
      <c r="C14" s="22"/>
      <c r="D14" s="39"/>
      <c r="E14" s="23"/>
      <c r="F14" s="23"/>
      <c r="G14" s="195"/>
      <c r="H14" s="196"/>
      <c r="I14" s="192"/>
      <c r="J14" s="22"/>
      <c r="K14" s="191"/>
      <c r="L14" s="41"/>
      <c r="M14" s="22"/>
      <c r="N14" s="22"/>
      <c r="O14" s="22"/>
      <c r="P14" s="190"/>
    </row>
    <row r="15" spans="2:17" ht="15" customHeight="1" x14ac:dyDescent="0.2">
      <c r="B15" s="26"/>
      <c r="C15" s="22"/>
      <c r="D15" s="39"/>
      <c r="E15" s="23"/>
      <c r="F15" s="23"/>
      <c r="G15" s="195"/>
      <c r="H15" s="196"/>
      <c r="I15" s="192"/>
      <c r="J15" s="22"/>
      <c r="K15" s="191"/>
      <c r="L15" s="41"/>
      <c r="M15" s="22"/>
      <c r="N15" s="22"/>
      <c r="O15" s="22"/>
      <c r="P15" s="26"/>
    </row>
    <row r="16" spans="2:17" ht="15" customHeight="1" x14ac:dyDescent="0.2">
      <c r="B16" s="26"/>
      <c r="C16" s="22"/>
      <c r="D16" s="42"/>
      <c r="E16" s="23"/>
      <c r="F16" s="23"/>
      <c r="G16" s="195"/>
      <c r="H16" s="196"/>
      <c r="I16" s="26"/>
      <c r="J16" s="22"/>
      <c r="K16" s="41"/>
      <c r="L16" s="41"/>
      <c r="M16" s="22"/>
      <c r="N16" s="22"/>
      <c r="O16" s="22"/>
      <c r="P16" s="26"/>
    </row>
    <row r="17" spans="2:16" ht="15.75" customHeight="1" thickBot="1" x14ac:dyDescent="0.25">
      <c r="B17" s="26"/>
      <c r="C17" s="22"/>
      <c r="D17" s="42"/>
      <c r="E17" s="23"/>
      <c r="F17" s="23"/>
      <c r="G17" s="195"/>
      <c r="H17" s="196"/>
      <c r="I17" s="26"/>
      <c r="J17" s="22"/>
      <c r="K17" s="41"/>
      <c r="L17" s="41"/>
      <c r="M17" s="22"/>
      <c r="N17" s="22"/>
      <c r="O17" s="22"/>
      <c r="P17" s="26"/>
    </row>
    <row r="18" spans="2:16" ht="15" customHeight="1" x14ac:dyDescent="0.2">
      <c r="B18" s="204"/>
      <c r="C18" s="204"/>
      <c r="D18" s="49"/>
      <c r="E18" s="37"/>
      <c r="F18" s="37"/>
      <c r="G18" s="195"/>
      <c r="H18" s="196"/>
      <c r="I18" s="34"/>
      <c r="J18" s="35"/>
      <c r="K18" s="205"/>
      <c r="L18" s="36"/>
      <c r="M18" s="36"/>
      <c r="N18" s="36"/>
      <c r="O18" s="36"/>
      <c r="P18" s="21"/>
    </row>
    <row r="19" spans="2:16" ht="15" customHeight="1" x14ac:dyDescent="0.2">
      <c r="B19" s="192"/>
      <c r="C19" s="192"/>
      <c r="D19" s="42"/>
      <c r="E19" s="23"/>
      <c r="F19" s="23"/>
      <c r="G19" s="195"/>
      <c r="H19" s="196"/>
      <c r="I19" s="40"/>
      <c r="J19" s="22"/>
      <c r="K19" s="191"/>
      <c r="L19" s="25"/>
      <c r="M19" s="25"/>
      <c r="N19" s="25"/>
      <c r="O19" s="25"/>
      <c r="P19" s="26"/>
    </row>
    <row r="20" spans="2:16" ht="15" customHeight="1" x14ac:dyDescent="0.2">
      <c r="B20" s="192"/>
      <c r="C20" s="50"/>
      <c r="D20" s="42"/>
      <c r="E20" s="23"/>
      <c r="F20" s="23"/>
      <c r="G20" s="195"/>
      <c r="H20" s="196"/>
      <c r="I20" s="192"/>
      <c r="J20" s="22"/>
      <c r="K20" s="191"/>
      <c r="L20" s="25"/>
      <c r="M20" s="25"/>
      <c r="N20" s="25"/>
      <c r="O20" s="25"/>
      <c r="P20" s="26"/>
    </row>
    <row r="21" spans="2:16" ht="15" customHeight="1" x14ac:dyDescent="0.2">
      <c r="B21" s="192"/>
      <c r="C21" s="192"/>
      <c r="D21" s="42"/>
      <c r="E21" s="23"/>
      <c r="F21" s="23"/>
      <c r="G21" s="195"/>
      <c r="H21" s="196"/>
      <c r="I21" s="192"/>
      <c r="J21" s="22"/>
      <c r="K21" s="51"/>
      <c r="L21" s="51"/>
      <c r="M21" s="42"/>
      <c r="N21" s="42"/>
      <c r="O21" s="65"/>
      <c r="P21" s="26"/>
    </row>
    <row r="22" spans="2:16" ht="15" customHeight="1" x14ac:dyDescent="0.2">
      <c r="B22" s="192"/>
      <c r="C22" s="192"/>
      <c r="D22" s="42"/>
      <c r="E22" s="23"/>
      <c r="F22" s="23"/>
      <c r="G22" s="195"/>
      <c r="H22" s="196"/>
      <c r="I22" s="26"/>
      <c r="J22" s="22"/>
      <c r="K22" s="41"/>
      <c r="L22" s="41"/>
      <c r="M22" s="22"/>
      <c r="N22" s="22"/>
      <c r="O22" s="22"/>
      <c r="P22" s="26"/>
    </row>
    <row r="23" spans="2:16" ht="15" customHeight="1" x14ac:dyDescent="0.2">
      <c r="B23" s="26"/>
      <c r="C23" s="50"/>
      <c r="D23" s="42"/>
      <c r="E23" s="23"/>
      <c r="F23" s="23"/>
      <c r="G23" s="195"/>
      <c r="H23" s="196"/>
      <c r="I23" s="26"/>
      <c r="J23" s="22"/>
      <c r="K23" s="41"/>
      <c r="L23" s="41"/>
      <c r="M23" s="22"/>
      <c r="N23" s="22"/>
      <c r="O23" s="22"/>
      <c r="P23" s="26"/>
    </row>
    <row r="24" spans="2:16" ht="15.75" customHeight="1" thickBot="1" x14ac:dyDescent="0.25">
      <c r="B24" s="31"/>
      <c r="C24" s="45"/>
      <c r="D24" s="46"/>
      <c r="E24" s="47"/>
      <c r="F24" s="47"/>
      <c r="G24" s="195"/>
      <c r="H24" s="196"/>
      <c r="I24" s="31"/>
      <c r="J24" s="28"/>
      <c r="K24" s="48"/>
      <c r="L24" s="48"/>
      <c r="M24" s="28"/>
      <c r="N24" s="28"/>
      <c r="O24" s="28"/>
      <c r="P24" s="31"/>
    </row>
    <row r="25" spans="2:16" ht="15" customHeight="1" x14ac:dyDescent="0.2">
      <c r="B25" s="202"/>
      <c r="C25" s="52"/>
      <c r="D25" s="49"/>
      <c r="E25" s="37"/>
      <c r="F25" s="37"/>
      <c r="G25" s="195"/>
      <c r="H25" s="196"/>
      <c r="I25" s="21"/>
      <c r="J25" s="35"/>
      <c r="K25" s="43"/>
      <c r="L25" s="43"/>
      <c r="M25" s="35"/>
      <c r="N25" s="35"/>
      <c r="O25" s="35"/>
      <c r="P25" s="21"/>
    </row>
    <row r="26" spans="2:16" ht="15" customHeight="1" x14ac:dyDescent="0.2">
      <c r="B26" s="201"/>
      <c r="C26" s="50"/>
      <c r="D26" s="42"/>
      <c r="E26" s="23"/>
      <c r="F26" s="23"/>
      <c r="G26" s="195"/>
      <c r="H26" s="196"/>
      <c r="I26" s="26"/>
      <c r="J26" s="22"/>
      <c r="K26" s="41"/>
      <c r="L26" s="41"/>
      <c r="M26" s="22"/>
      <c r="N26" s="22"/>
      <c r="O26" s="22"/>
      <c r="P26" s="26"/>
    </row>
    <row r="27" spans="2:16" ht="15" customHeight="1" x14ac:dyDescent="0.2">
      <c r="B27" s="201"/>
      <c r="C27" s="50"/>
      <c r="D27" s="42"/>
      <c r="E27" s="23"/>
      <c r="F27" s="23"/>
      <c r="G27" s="195"/>
      <c r="H27" s="196"/>
      <c r="I27" s="190"/>
      <c r="J27" s="22"/>
      <c r="K27" s="41"/>
      <c r="L27" s="41"/>
      <c r="M27" s="22"/>
      <c r="N27" s="22"/>
      <c r="O27" s="22"/>
      <c r="P27" s="190"/>
    </row>
    <row r="28" spans="2:16" ht="15" customHeight="1" x14ac:dyDescent="0.2">
      <c r="B28" s="201"/>
      <c r="C28" s="50"/>
      <c r="D28" s="42"/>
      <c r="E28" s="23"/>
      <c r="F28" s="23"/>
      <c r="G28" s="195"/>
      <c r="H28" s="196"/>
      <c r="I28" s="190"/>
      <c r="J28" s="22"/>
      <c r="K28" s="41"/>
      <c r="L28" s="41"/>
      <c r="M28" s="22"/>
      <c r="N28" s="22"/>
      <c r="O28" s="22"/>
      <c r="P28" s="190"/>
    </row>
    <row r="29" spans="2:16" ht="15" customHeight="1" x14ac:dyDescent="0.2">
      <c r="B29" s="201"/>
      <c r="C29" s="50"/>
      <c r="D29" s="42"/>
      <c r="E29" s="23"/>
      <c r="F29" s="23"/>
      <c r="G29" s="195"/>
      <c r="H29" s="196"/>
      <c r="I29" s="26"/>
      <c r="J29" s="22"/>
      <c r="K29" s="41"/>
      <c r="L29" s="41"/>
      <c r="M29" s="22"/>
      <c r="N29" s="22"/>
      <c r="O29" s="22"/>
      <c r="P29" s="26"/>
    </row>
    <row r="30" spans="2:16" ht="15.75" customHeight="1" thickBot="1" x14ac:dyDescent="0.25">
      <c r="B30" s="31"/>
      <c r="C30" s="45"/>
      <c r="D30" s="46"/>
      <c r="E30" s="47"/>
      <c r="F30" s="47"/>
      <c r="G30" s="195"/>
      <c r="H30" s="196"/>
      <c r="I30" s="31"/>
      <c r="J30" s="28"/>
      <c r="K30" s="48"/>
      <c r="L30" s="48"/>
      <c r="M30" s="28"/>
      <c r="N30" s="28"/>
      <c r="O30" s="28"/>
      <c r="P30" s="31"/>
    </row>
    <row r="31" spans="2:16" ht="15" customHeight="1" x14ac:dyDescent="0.2">
      <c r="B31" s="201"/>
      <c r="C31" s="50"/>
      <c r="D31" s="191"/>
      <c r="E31" s="50"/>
      <c r="F31" s="50"/>
      <c r="G31" s="195"/>
      <c r="H31" s="196"/>
      <c r="I31" s="203"/>
      <c r="J31" s="22"/>
      <c r="K31" s="192"/>
      <c r="L31" s="53"/>
      <c r="M31" s="53"/>
      <c r="N31" s="53"/>
      <c r="O31" s="53"/>
      <c r="P31" s="26"/>
    </row>
    <row r="32" spans="2:16" ht="12.75" customHeight="1" x14ac:dyDescent="0.2">
      <c r="B32" s="201"/>
      <c r="C32" s="50"/>
      <c r="D32" s="191"/>
      <c r="E32" s="50"/>
      <c r="F32" s="50"/>
      <c r="G32" s="195"/>
      <c r="H32" s="196"/>
      <c r="I32" s="203"/>
      <c r="J32" s="22"/>
      <c r="K32" s="192"/>
      <c r="L32" s="53"/>
      <c r="M32" s="53"/>
      <c r="N32" s="53"/>
      <c r="O32" s="53"/>
      <c r="P32" s="26"/>
    </row>
    <row r="33" spans="2:16" ht="12.75" customHeight="1" x14ac:dyDescent="0.2">
      <c r="B33" s="201"/>
      <c r="C33" s="50"/>
      <c r="D33" s="191"/>
      <c r="E33" s="50"/>
      <c r="F33" s="50"/>
      <c r="G33" s="195"/>
      <c r="H33" s="196"/>
      <c r="I33" s="203"/>
      <c r="J33" s="22"/>
      <c r="K33" s="192"/>
      <c r="L33" s="53"/>
      <c r="M33" s="53"/>
      <c r="N33" s="53"/>
      <c r="O33" s="53"/>
      <c r="P33" s="26"/>
    </row>
    <row r="34" spans="2:16" ht="15" customHeight="1" x14ac:dyDescent="0.2">
      <c r="B34" s="201"/>
      <c r="C34" s="50"/>
      <c r="D34" s="42"/>
      <c r="E34" s="50"/>
      <c r="F34" s="50"/>
      <c r="G34" s="195"/>
      <c r="H34" s="196"/>
      <c r="I34" s="26"/>
      <c r="J34" s="22"/>
      <c r="K34" s="54"/>
      <c r="L34" s="54"/>
      <c r="M34" s="44"/>
      <c r="N34" s="44"/>
      <c r="O34" s="53"/>
      <c r="P34" s="26"/>
    </row>
    <row r="35" spans="2:16" ht="15" customHeight="1" x14ac:dyDescent="0.2">
      <c r="B35" s="26"/>
      <c r="C35" s="50"/>
      <c r="D35" s="42"/>
      <c r="E35" s="50"/>
      <c r="F35" s="50"/>
      <c r="G35" s="195"/>
      <c r="H35" s="196"/>
      <c r="I35" s="26"/>
      <c r="J35" s="22"/>
      <c r="K35" s="54"/>
      <c r="L35" s="54"/>
      <c r="M35" s="44"/>
      <c r="N35" s="44"/>
      <c r="O35" s="44"/>
      <c r="P35" s="26"/>
    </row>
    <row r="36" spans="2:16" ht="15" customHeight="1" x14ac:dyDescent="0.2">
      <c r="B36" s="26"/>
      <c r="C36" s="50"/>
      <c r="D36" s="42"/>
      <c r="E36" s="50"/>
      <c r="F36" s="50"/>
      <c r="G36" s="195"/>
      <c r="H36" s="196"/>
      <c r="I36" s="26"/>
      <c r="J36" s="22"/>
      <c r="K36" s="55"/>
      <c r="L36" s="55"/>
      <c r="M36" s="50"/>
      <c r="N36" s="50"/>
      <c r="O36" s="50"/>
      <c r="P36" s="26"/>
    </row>
    <row r="37" spans="2:16" ht="15" customHeight="1" thickBot="1" x14ac:dyDescent="0.25">
      <c r="B37" s="31"/>
      <c r="C37" s="45"/>
      <c r="D37" s="29"/>
      <c r="E37" s="45"/>
      <c r="F37" s="45"/>
      <c r="G37" s="195"/>
      <c r="H37" s="196"/>
      <c r="I37" s="31"/>
      <c r="J37" s="28"/>
      <c r="K37" s="63"/>
      <c r="L37" s="63"/>
      <c r="M37" s="45"/>
      <c r="N37" s="45"/>
      <c r="O37" s="45"/>
      <c r="P37" s="31"/>
    </row>
    <row r="38" spans="2:16" ht="15" customHeight="1" x14ac:dyDescent="0.2">
      <c r="B38" s="201"/>
      <c r="C38" s="50"/>
      <c r="D38" s="39"/>
      <c r="E38" s="50"/>
      <c r="F38" s="50"/>
      <c r="G38" s="195"/>
      <c r="H38" s="197"/>
      <c r="I38" s="21"/>
      <c r="J38" s="41"/>
      <c r="K38" s="55"/>
      <c r="L38" s="55"/>
      <c r="M38" s="50"/>
      <c r="N38" s="50"/>
      <c r="O38" s="50"/>
      <c r="P38" s="26"/>
    </row>
    <row r="39" spans="2:16" ht="15" customHeight="1" x14ac:dyDescent="0.2">
      <c r="B39" s="201"/>
      <c r="C39" s="50"/>
      <c r="D39" s="191"/>
      <c r="E39" s="50"/>
      <c r="F39" s="50"/>
      <c r="G39" s="195"/>
      <c r="H39" s="197"/>
      <c r="I39" s="40"/>
      <c r="J39" s="41"/>
      <c r="K39" s="55"/>
      <c r="L39" s="55"/>
      <c r="M39" s="50"/>
      <c r="N39" s="50"/>
      <c r="O39" s="50"/>
      <c r="P39" s="26"/>
    </row>
    <row r="40" spans="2:16" ht="15" customHeight="1" x14ac:dyDescent="0.2">
      <c r="B40" s="201"/>
      <c r="C40" s="50"/>
      <c r="D40" s="191"/>
      <c r="E40" s="50"/>
      <c r="F40" s="50"/>
      <c r="G40" s="195"/>
      <c r="H40" s="197"/>
      <c r="I40" s="192"/>
      <c r="J40" s="41"/>
      <c r="K40" s="55"/>
      <c r="L40" s="55"/>
      <c r="M40" s="50"/>
      <c r="N40" s="50"/>
      <c r="O40" s="50"/>
      <c r="P40" s="26"/>
    </row>
    <row r="41" spans="2:16" ht="15" customHeight="1" x14ac:dyDescent="0.2">
      <c r="B41" s="201"/>
      <c r="C41" s="50"/>
      <c r="D41" s="191"/>
      <c r="E41" s="50"/>
      <c r="F41" s="50"/>
      <c r="G41" s="195"/>
      <c r="H41" s="197"/>
      <c r="I41" s="192"/>
      <c r="J41" s="41"/>
      <c r="K41" s="55"/>
      <c r="L41" s="55"/>
      <c r="M41" s="50"/>
      <c r="N41" s="50"/>
      <c r="O41" s="50"/>
      <c r="P41" s="26"/>
    </row>
    <row r="42" spans="2:16" ht="15" customHeight="1" x14ac:dyDescent="0.2">
      <c r="B42" s="201"/>
      <c r="C42" s="50"/>
      <c r="D42" s="42"/>
      <c r="E42" s="50"/>
      <c r="F42" s="50"/>
      <c r="G42" s="195"/>
      <c r="H42" s="197"/>
      <c r="I42" s="26"/>
      <c r="J42" s="41"/>
      <c r="K42" s="55"/>
      <c r="L42" s="55"/>
      <c r="M42" s="50"/>
      <c r="N42" s="50"/>
      <c r="O42" s="50"/>
      <c r="P42" s="26"/>
    </row>
    <row r="43" spans="2:16" ht="15" customHeight="1" thickBot="1" x14ac:dyDescent="0.25">
      <c r="B43" s="26"/>
      <c r="C43" s="50"/>
      <c r="D43" s="42"/>
      <c r="E43" s="50"/>
      <c r="F43" s="50"/>
      <c r="G43" s="195"/>
      <c r="H43" s="197"/>
      <c r="I43" s="31"/>
      <c r="J43" s="41"/>
      <c r="K43" s="55"/>
      <c r="L43" s="55"/>
      <c r="M43" s="50"/>
      <c r="N43" s="50"/>
      <c r="O43" s="50"/>
      <c r="P43" s="26"/>
    </row>
    <row r="44" spans="2:16" ht="18.75" thickBot="1" x14ac:dyDescent="0.3">
      <c r="B44" s="64">
        <f>COUNT(B6:B42)</f>
        <v>0</v>
      </c>
      <c r="C44" s="198"/>
      <c r="D44" s="199"/>
      <c r="E44" s="199"/>
      <c r="F44" s="199"/>
      <c r="G44" s="199"/>
      <c r="H44" s="199"/>
      <c r="I44" s="199"/>
      <c r="J44" s="199"/>
      <c r="K44" s="199"/>
      <c r="L44" s="200"/>
      <c r="M44" s="56">
        <f>SUM(M6:M43)</f>
        <v>0</v>
      </c>
      <c r="N44" s="56">
        <f t="shared" ref="N44:O44" si="0">SUM(N6:N43)</f>
        <v>0</v>
      </c>
      <c r="O44" s="56">
        <f t="shared" si="0"/>
        <v>0</v>
      </c>
      <c r="P44" s="57" t="s">
        <v>25</v>
      </c>
    </row>
    <row r="45" spans="2:16" x14ac:dyDescent="0.2">
      <c r="J45" s="15"/>
      <c r="K45" s="15"/>
      <c r="L45" s="15"/>
      <c r="M45" s="15"/>
      <c r="N45" s="15"/>
      <c r="O45" s="15"/>
    </row>
    <row r="46" spans="2:16" x14ac:dyDescent="0.2">
      <c r="B46" s="58"/>
      <c r="C46" s="14"/>
    </row>
    <row r="47" spans="2:16" x14ac:dyDescent="0.2">
      <c r="B47" s="58"/>
      <c r="C47" s="14"/>
    </row>
    <row r="48" spans="2:16" x14ac:dyDescent="0.2">
      <c r="B48" s="58"/>
      <c r="C48" s="14"/>
    </row>
    <row r="49" spans="2:3" x14ac:dyDescent="0.2">
      <c r="B49" s="15"/>
      <c r="C49" s="14"/>
    </row>
    <row r="50" spans="2:3" x14ac:dyDescent="0.2">
      <c r="C50" s="14"/>
    </row>
  </sheetData>
  <mergeCells count="30">
    <mergeCell ref="B6:B10"/>
    <mergeCell ref="I7:I9"/>
    <mergeCell ref="J7:J9"/>
    <mergeCell ref="K7:K9"/>
    <mergeCell ref="B2:P2"/>
    <mergeCell ref="B3:C3"/>
    <mergeCell ref="D3:P3"/>
    <mergeCell ref="B4:P4"/>
    <mergeCell ref="G5:H5"/>
    <mergeCell ref="C44:L44"/>
    <mergeCell ref="I13:I15"/>
    <mergeCell ref="I40:I41"/>
    <mergeCell ref="K31:K33"/>
    <mergeCell ref="B38:B42"/>
    <mergeCell ref="D39:D41"/>
    <mergeCell ref="B25:B29"/>
    <mergeCell ref="B31:B34"/>
    <mergeCell ref="D31:D33"/>
    <mergeCell ref="I31:I33"/>
    <mergeCell ref="B12:B14"/>
    <mergeCell ref="B18:B22"/>
    <mergeCell ref="C18:C19"/>
    <mergeCell ref="K18:K20"/>
    <mergeCell ref="P13:P14"/>
    <mergeCell ref="K14:K15"/>
    <mergeCell ref="I20:I21"/>
    <mergeCell ref="C21:C22"/>
    <mergeCell ref="I27:I28"/>
    <mergeCell ref="P27:P28"/>
    <mergeCell ref="G6:H43"/>
  </mergeCells>
  <pageMargins left="0.75" right="0.75" top="0.75" bottom="0.75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D0AC-7B2D-406B-9BF7-6E71519905BB}">
  <dimension ref="B1:F6"/>
  <sheetViews>
    <sheetView showGridLines="0" workbookViewId="0">
      <selection activeCell="F11" sqref="F11"/>
    </sheetView>
  </sheetViews>
  <sheetFormatPr baseColWidth="10" defaultRowHeight="15" x14ac:dyDescent="0.25"/>
  <cols>
    <col min="1" max="1" width="2.28515625" customWidth="1"/>
    <col min="4" max="4" width="21.5703125" customWidth="1"/>
    <col min="5" max="5" width="22" customWidth="1"/>
    <col min="6" max="6" width="24.140625" customWidth="1"/>
  </cols>
  <sheetData>
    <row r="1" spans="2:6" ht="12.75" customHeight="1" x14ac:dyDescent="0.25"/>
    <row r="2" spans="2:6" ht="33.75" customHeight="1" x14ac:dyDescent="0.25">
      <c r="B2" s="294" t="s">
        <v>33</v>
      </c>
      <c r="C2" s="294"/>
      <c r="D2" s="294"/>
      <c r="E2" s="294"/>
      <c r="F2" s="294"/>
    </row>
    <row r="3" spans="2:6" x14ac:dyDescent="0.25">
      <c r="B3" s="220" t="s">
        <v>34</v>
      </c>
      <c r="C3" s="220"/>
      <c r="D3" s="220" t="s">
        <v>35</v>
      </c>
      <c r="E3" s="220"/>
      <c r="F3" s="220"/>
    </row>
    <row r="4" spans="2:6" ht="57.75" customHeight="1" x14ac:dyDescent="0.25">
      <c r="B4" s="221"/>
      <c r="C4" s="221"/>
      <c r="D4" s="68"/>
      <c r="E4" s="68"/>
      <c r="F4" s="68"/>
    </row>
    <row r="5" spans="2:6" ht="55.5" customHeight="1" x14ac:dyDescent="0.25">
      <c r="B5" s="221"/>
      <c r="C5" s="221"/>
      <c r="D5" s="68"/>
      <c r="E5" s="68"/>
      <c r="F5" s="68"/>
    </row>
    <row r="6" spans="2:6" ht="62.25" customHeight="1" x14ac:dyDescent="0.25">
      <c r="B6" s="221"/>
      <c r="C6" s="221"/>
      <c r="D6" s="68"/>
      <c r="E6" s="68"/>
      <c r="F6" s="68"/>
    </row>
  </sheetData>
  <mergeCells count="4">
    <mergeCell ref="B3:C3"/>
    <mergeCell ref="D3:F3"/>
    <mergeCell ref="B2:F2"/>
    <mergeCell ref="B4:C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D343-B586-4E68-BB27-E6868EE56275}">
  <dimension ref="A1:B14"/>
  <sheetViews>
    <sheetView showGridLines="0" workbookViewId="0">
      <selection activeCell="D14" sqref="D14"/>
    </sheetView>
  </sheetViews>
  <sheetFormatPr baseColWidth="10" defaultRowHeight="15" x14ac:dyDescent="0.25"/>
  <cols>
    <col min="1" max="1" width="43.28515625" customWidth="1"/>
    <col min="2" max="2" width="30.7109375" customWidth="1"/>
  </cols>
  <sheetData>
    <row r="1" spans="1:2" ht="18.75" x14ac:dyDescent="0.3">
      <c r="A1" s="310" t="s">
        <v>86</v>
      </c>
      <c r="B1" s="310"/>
    </row>
    <row r="2" spans="1:2" ht="9" customHeight="1" x14ac:dyDescent="0.25">
      <c r="A2" s="223"/>
      <c r="B2" s="224"/>
    </row>
    <row r="3" spans="1:2" ht="27" customHeight="1" x14ac:dyDescent="0.25">
      <c r="A3" s="93" t="s">
        <v>81</v>
      </c>
      <c r="B3" s="68"/>
    </row>
    <row r="4" spans="1:2" ht="27" customHeight="1" x14ac:dyDescent="0.25">
      <c r="A4" s="93" t="s">
        <v>82</v>
      </c>
      <c r="B4" s="68"/>
    </row>
    <row r="5" spans="1:2" ht="27" customHeight="1" x14ac:dyDescent="0.25">
      <c r="A5" s="93" t="s">
        <v>36</v>
      </c>
      <c r="B5" s="68"/>
    </row>
    <row r="6" spans="1:2" ht="34.5" customHeight="1" x14ac:dyDescent="0.25">
      <c r="A6" s="94" t="s">
        <v>167</v>
      </c>
      <c r="B6" s="95"/>
    </row>
    <row r="7" spans="1:2" ht="27" customHeight="1" x14ac:dyDescent="0.25">
      <c r="A7" s="93" t="s">
        <v>85</v>
      </c>
      <c r="B7" s="68"/>
    </row>
    <row r="8" spans="1:2" ht="27" customHeight="1" x14ac:dyDescent="0.25">
      <c r="A8" s="93" t="s">
        <v>83</v>
      </c>
      <c r="B8" s="68"/>
    </row>
    <row r="9" spans="1:2" ht="9" customHeight="1" x14ac:dyDescent="0.25">
      <c r="A9" s="225"/>
      <c r="B9" s="225"/>
    </row>
    <row r="10" spans="1:2" ht="25.5" customHeight="1" x14ac:dyDescent="0.25">
      <c r="A10" s="93" t="s">
        <v>37</v>
      </c>
      <c r="B10" s="68"/>
    </row>
    <row r="11" spans="1:2" ht="10.5" customHeight="1" x14ac:dyDescent="0.25">
      <c r="A11" s="225"/>
      <c r="B11" s="225"/>
    </row>
    <row r="12" spans="1:2" ht="23.25" customHeight="1" x14ac:dyDescent="0.25">
      <c r="A12" s="94" t="s">
        <v>84</v>
      </c>
      <c r="B12" s="96"/>
    </row>
    <row r="13" spans="1:2" ht="9" customHeight="1" x14ac:dyDescent="0.25">
      <c r="A13" s="225"/>
      <c r="B13" s="225"/>
    </row>
    <row r="14" spans="1:2" ht="27" customHeight="1" x14ac:dyDescent="0.25">
      <c r="A14" s="93" t="s">
        <v>39</v>
      </c>
      <c r="B14" s="68"/>
    </row>
  </sheetData>
  <mergeCells count="5">
    <mergeCell ref="A1:B1"/>
    <mergeCell ref="A2:B2"/>
    <mergeCell ref="A9:B9"/>
    <mergeCell ref="A11:B11"/>
    <mergeCell ref="A13:B13"/>
  </mergeCell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823C-645C-44BA-958B-453CF0A79BE8}">
  <dimension ref="B1:F16"/>
  <sheetViews>
    <sheetView showGridLines="0" workbookViewId="0">
      <selection activeCell="G17" sqref="G17"/>
    </sheetView>
  </sheetViews>
  <sheetFormatPr baseColWidth="10" defaultRowHeight="15" x14ac:dyDescent="0.25"/>
  <cols>
    <col min="1" max="1" width="3.140625" customWidth="1"/>
    <col min="2" max="2" width="10.5703125" customWidth="1"/>
    <col min="3" max="3" width="16.28515625" customWidth="1"/>
    <col min="4" max="4" width="3.5703125" customWidth="1"/>
    <col min="5" max="5" width="3.140625" customWidth="1"/>
    <col min="6" max="6" width="34.28515625" customWidth="1"/>
  </cols>
  <sheetData>
    <row r="1" spans="2:6" ht="12" customHeight="1" x14ac:dyDescent="0.25"/>
    <row r="2" spans="2:6" ht="21" customHeight="1" x14ac:dyDescent="0.25">
      <c r="B2" s="226" t="s">
        <v>48</v>
      </c>
      <c r="C2" s="226"/>
      <c r="D2" s="226"/>
      <c r="E2" s="226"/>
      <c r="F2" s="226"/>
    </row>
    <row r="3" spans="2:6" x14ac:dyDescent="0.25">
      <c r="B3" s="79"/>
      <c r="C3" s="80" t="s">
        <v>57</v>
      </c>
      <c r="D3" s="229"/>
      <c r="E3" s="230" t="s">
        <v>60</v>
      </c>
      <c r="F3" s="231"/>
    </row>
    <row r="4" spans="2:6" ht="21" x14ac:dyDescent="0.35">
      <c r="B4" s="74" t="s">
        <v>59</v>
      </c>
      <c r="C4" s="67"/>
      <c r="D4" s="229"/>
      <c r="E4" s="232"/>
      <c r="F4" s="233"/>
    </row>
    <row r="5" spans="2:6" ht="21" x14ac:dyDescent="0.35">
      <c r="B5" s="74" t="s">
        <v>53</v>
      </c>
      <c r="C5" s="75"/>
      <c r="D5" s="229"/>
      <c r="E5" s="228" t="s">
        <v>55</v>
      </c>
      <c r="F5" s="228"/>
    </row>
    <row r="6" spans="2:6" ht="21" x14ac:dyDescent="0.35">
      <c r="B6" s="74" t="s">
        <v>52</v>
      </c>
      <c r="C6" s="70">
        <f>1-C5</f>
        <v>1</v>
      </c>
      <c r="D6" s="229"/>
      <c r="E6" s="227" t="s">
        <v>54</v>
      </c>
      <c r="F6" s="234" t="e">
        <f>C10^2*C5*(C6)/C11^2</f>
        <v>#DIV/0!</v>
      </c>
    </row>
    <row r="7" spans="2:6" ht="21" x14ac:dyDescent="0.35">
      <c r="B7" s="74" t="s">
        <v>56</v>
      </c>
      <c r="C7" s="75"/>
      <c r="D7" s="229"/>
      <c r="E7" s="227"/>
      <c r="F7" s="234"/>
    </row>
    <row r="8" spans="2:6" ht="21" x14ac:dyDescent="0.35">
      <c r="B8" s="74" t="s">
        <v>50</v>
      </c>
      <c r="C8" s="77">
        <f>1-C7</f>
        <v>1</v>
      </c>
      <c r="D8" s="229"/>
      <c r="E8" s="229"/>
      <c r="F8" s="229"/>
    </row>
    <row r="9" spans="2:6" ht="21" x14ac:dyDescent="0.35">
      <c r="B9" s="74" t="s">
        <v>58</v>
      </c>
      <c r="C9" s="77">
        <f>C8/2</f>
        <v>0.5</v>
      </c>
      <c r="D9" s="229"/>
      <c r="E9" s="229"/>
      <c r="F9" s="229"/>
    </row>
    <row r="10" spans="2:6" ht="21" x14ac:dyDescent="0.35">
      <c r="B10" s="74" t="s">
        <v>49</v>
      </c>
      <c r="C10" s="78">
        <f>_xlfn.NORM.S.INV(C9)*(-1)</f>
        <v>0</v>
      </c>
      <c r="D10" s="229"/>
      <c r="E10" s="228" t="s">
        <v>61</v>
      </c>
      <c r="F10" s="228"/>
    </row>
    <row r="11" spans="2:6" ht="21" x14ac:dyDescent="0.35">
      <c r="B11" s="74" t="s">
        <v>51</v>
      </c>
      <c r="C11" s="75"/>
      <c r="D11" s="229"/>
      <c r="E11" s="227" t="s">
        <v>54</v>
      </c>
      <c r="F11" s="235" t="e">
        <f>(C4*(C10^2)*C5*C6)/((C4-1)*(C11^2)+(C10^2)*C5*C6)</f>
        <v>#DIV/0!</v>
      </c>
    </row>
    <row r="12" spans="2:6" ht="26.25" customHeight="1" x14ac:dyDescent="0.25">
      <c r="B12" s="229"/>
      <c r="C12" s="229"/>
      <c r="D12" s="229"/>
      <c r="E12" s="227"/>
      <c r="F12" s="236"/>
    </row>
    <row r="13" spans="2:6" x14ac:dyDescent="0.25">
      <c r="B13" s="66"/>
    </row>
    <row r="14" spans="2:6" x14ac:dyDescent="0.25">
      <c r="B14" s="66"/>
    </row>
    <row r="16" spans="2:6" x14ac:dyDescent="0.25">
      <c r="F16" s="76"/>
    </row>
  </sheetData>
  <mergeCells count="11">
    <mergeCell ref="B2:F2"/>
    <mergeCell ref="E6:E7"/>
    <mergeCell ref="E11:E12"/>
    <mergeCell ref="E5:F5"/>
    <mergeCell ref="E10:F10"/>
    <mergeCell ref="B12:C12"/>
    <mergeCell ref="D3:D12"/>
    <mergeCell ref="E8:F9"/>
    <mergeCell ref="E3:F4"/>
    <mergeCell ref="F6:F7"/>
    <mergeCell ref="F11:F12"/>
  </mergeCells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AD9F-6887-4E27-83F3-3C20F946487E}">
  <dimension ref="A1:B14"/>
  <sheetViews>
    <sheetView showGridLines="0" workbookViewId="0">
      <selection activeCell="B20" sqref="B20"/>
    </sheetView>
  </sheetViews>
  <sheetFormatPr baseColWidth="10" defaultRowHeight="15" x14ac:dyDescent="0.25"/>
  <cols>
    <col min="1" max="1" width="40.140625" bestFit="1" customWidth="1"/>
    <col min="2" max="2" width="39.140625" customWidth="1"/>
  </cols>
  <sheetData>
    <row r="1" spans="1:2" ht="18.75" x14ac:dyDescent="0.3">
      <c r="A1" s="222" t="s">
        <v>87</v>
      </c>
      <c r="B1" s="222"/>
    </row>
    <row r="2" spans="1:2" x14ac:dyDescent="0.25">
      <c r="A2" s="223"/>
      <c r="B2" s="224"/>
    </row>
    <row r="3" spans="1:2" x14ac:dyDescent="0.25">
      <c r="A3" s="93" t="s">
        <v>40</v>
      </c>
      <c r="B3" s="68"/>
    </row>
    <row r="4" spans="1:2" x14ac:dyDescent="0.25">
      <c r="A4" s="93" t="s">
        <v>82</v>
      </c>
      <c r="B4" s="68"/>
    </row>
    <row r="5" spans="1:2" x14ac:dyDescent="0.25">
      <c r="A5" s="93" t="s">
        <v>36</v>
      </c>
      <c r="B5" s="68"/>
    </row>
    <row r="6" spans="1:2" ht="27" customHeight="1" x14ac:dyDescent="0.25">
      <c r="A6" s="94" t="s">
        <v>88</v>
      </c>
      <c r="B6" s="95"/>
    </row>
    <row r="7" spans="1:2" x14ac:dyDescent="0.25">
      <c r="A7" s="93" t="s">
        <v>85</v>
      </c>
      <c r="B7" s="68"/>
    </row>
    <row r="8" spans="1:2" x14ac:dyDescent="0.25">
      <c r="A8" s="93" t="s">
        <v>83</v>
      </c>
      <c r="B8" s="68"/>
    </row>
    <row r="9" spans="1:2" x14ac:dyDescent="0.25">
      <c r="A9" s="225"/>
      <c r="B9" s="225"/>
    </row>
    <row r="10" spans="1:2" x14ac:dyDescent="0.25">
      <c r="A10" s="93" t="s">
        <v>37</v>
      </c>
      <c r="B10" s="68"/>
    </row>
    <row r="11" spans="1:2" x14ac:dyDescent="0.25">
      <c r="A11" s="225"/>
      <c r="B11" s="225"/>
    </row>
    <row r="12" spans="1:2" x14ac:dyDescent="0.25">
      <c r="A12" s="93" t="s">
        <v>38</v>
      </c>
      <c r="B12" s="68"/>
    </row>
    <row r="13" spans="1:2" x14ac:dyDescent="0.25">
      <c r="A13" s="225"/>
      <c r="B13" s="225"/>
    </row>
    <row r="14" spans="1:2" x14ac:dyDescent="0.25">
      <c r="A14" s="93" t="s">
        <v>39</v>
      </c>
      <c r="B14" s="68"/>
    </row>
  </sheetData>
  <mergeCells count="5">
    <mergeCell ref="A1:B1"/>
    <mergeCell ref="A2:B2"/>
    <mergeCell ref="A9:B9"/>
    <mergeCell ref="A11:B11"/>
    <mergeCell ref="A13:B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78B2-5B9A-4166-ADCE-CB1509EDAAC5}">
  <dimension ref="B2:F11"/>
  <sheetViews>
    <sheetView showGridLines="0" workbookViewId="0">
      <selection activeCell="I17" sqref="I17"/>
    </sheetView>
  </sheetViews>
  <sheetFormatPr baseColWidth="10" defaultRowHeight="15" x14ac:dyDescent="0.25"/>
  <cols>
    <col min="1" max="1" width="3.85546875" customWidth="1"/>
    <col min="3" max="3" width="14.140625" customWidth="1"/>
    <col min="4" max="4" width="4.85546875" customWidth="1"/>
    <col min="5" max="5" width="9.140625" customWidth="1"/>
    <col min="6" max="6" width="28.140625" customWidth="1"/>
  </cols>
  <sheetData>
    <row r="2" spans="2:6" ht="18.75" x14ac:dyDescent="0.25">
      <c r="B2" s="226" t="s">
        <v>80</v>
      </c>
      <c r="C2" s="226"/>
      <c r="D2" s="226"/>
      <c r="E2" s="226"/>
      <c r="F2" s="226"/>
    </row>
    <row r="3" spans="2:6" ht="32.25" customHeight="1" x14ac:dyDescent="0.25">
      <c r="B3" s="79"/>
      <c r="C3" s="80" t="s">
        <v>57</v>
      </c>
      <c r="D3" s="229"/>
      <c r="E3" s="225" t="s">
        <v>60</v>
      </c>
      <c r="F3" s="225"/>
    </row>
    <row r="4" spans="2:6" ht="21" x14ac:dyDescent="0.35">
      <c r="B4" s="74" t="s">
        <v>59</v>
      </c>
      <c r="C4" s="67"/>
      <c r="D4" s="229"/>
      <c r="E4" s="228" t="s">
        <v>63</v>
      </c>
      <c r="F4" s="228"/>
    </row>
    <row r="5" spans="2:6" ht="21" x14ac:dyDescent="0.35">
      <c r="B5" s="81" t="s">
        <v>62</v>
      </c>
      <c r="C5" s="71"/>
      <c r="D5" s="229"/>
      <c r="E5" s="227" t="s">
        <v>54</v>
      </c>
      <c r="F5" s="234" t="e">
        <f>(C9^2*C5^2)/C10^2</f>
        <v>#DIV/0!</v>
      </c>
    </row>
    <row r="6" spans="2:6" ht="21" x14ac:dyDescent="0.35">
      <c r="B6" s="74" t="s">
        <v>56</v>
      </c>
      <c r="C6" s="75"/>
      <c r="D6" s="229"/>
      <c r="E6" s="227"/>
      <c r="F6" s="234"/>
    </row>
    <row r="7" spans="2:6" ht="21" x14ac:dyDescent="0.35">
      <c r="B7" s="74" t="s">
        <v>50</v>
      </c>
      <c r="C7" s="77">
        <f>1-C6</f>
        <v>1</v>
      </c>
      <c r="D7" s="229"/>
      <c r="E7" s="229"/>
      <c r="F7" s="229"/>
    </row>
    <row r="8" spans="2:6" ht="21" x14ac:dyDescent="0.35">
      <c r="B8" s="74" t="s">
        <v>58</v>
      </c>
      <c r="C8" s="77">
        <f>C7/2</f>
        <v>0.5</v>
      </c>
      <c r="D8" s="229"/>
      <c r="E8" s="229"/>
      <c r="F8" s="229"/>
    </row>
    <row r="9" spans="2:6" ht="21" x14ac:dyDescent="0.35">
      <c r="B9" s="74" t="s">
        <v>49</v>
      </c>
      <c r="C9" s="78">
        <f>_xlfn.NORM.S.INV(C8)*(-1)</f>
        <v>0</v>
      </c>
      <c r="D9" s="229"/>
      <c r="E9" s="228" t="s">
        <v>61</v>
      </c>
      <c r="F9" s="228"/>
    </row>
    <row r="10" spans="2:6" ht="21" x14ac:dyDescent="0.35">
      <c r="B10" s="74" t="s">
        <v>51</v>
      </c>
      <c r="C10" s="82"/>
      <c r="D10" s="229"/>
      <c r="E10" s="227" t="s">
        <v>54</v>
      </c>
      <c r="F10" s="235" t="e">
        <f>(C4*(C9^2)*(C5^2))/((C4-1)*(C10^2)+(C9^2)*C5^2)</f>
        <v>#DIV/0!</v>
      </c>
    </row>
    <row r="11" spans="2:6" x14ac:dyDescent="0.25">
      <c r="B11" s="229"/>
      <c r="C11" s="229"/>
      <c r="D11" s="229"/>
      <c r="E11" s="227"/>
      <c r="F11" s="236"/>
    </row>
  </sheetData>
  <mergeCells count="11">
    <mergeCell ref="B11:C11"/>
    <mergeCell ref="E4:F4"/>
    <mergeCell ref="E3:F3"/>
    <mergeCell ref="B2:F2"/>
    <mergeCell ref="D3:D11"/>
    <mergeCell ref="E5:E6"/>
    <mergeCell ref="F5:F6"/>
    <mergeCell ref="E7:F8"/>
    <mergeCell ref="E9:F9"/>
    <mergeCell ref="E10:E11"/>
    <mergeCell ref="F10:F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6923-AB6D-4B56-BCA3-44B3C886DF51}">
  <dimension ref="B1:L20"/>
  <sheetViews>
    <sheetView showGridLines="0" workbookViewId="0">
      <selection activeCell="H7" sqref="H7:J20"/>
    </sheetView>
  </sheetViews>
  <sheetFormatPr baseColWidth="10" defaultRowHeight="15" x14ac:dyDescent="0.25"/>
  <cols>
    <col min="1" max="1" width="2.140625" customWidth="1"/>
    <col min="2" max="2" width="21.7109375" bestFit="1" customWidth="1"/>
    <col min="3" max="3" width="21.5703125" customWidth="1"/>
    <col min="4" max="4" width="12.85546875" bestFit="1" customWidth="1"/>
    <col min="5" max="5" width="14.42578125" customWidth="1"/>
    <col min="6" max="6" width="17" customWidth="1"/>
    <col min="7" max="7" width="6.140625" customWidth="1"/>
    <col min="8" max="8" width="19.85546875" customWidth="1"/>
    <col min="9" max="9" width="19" customWidth="1"/>
    <col min="10" max="10" width="13.7109375" customWidth="1"/>
    <col min="11" max="11" width="16.140625" customWidth="1"/>
    <col min="12" max="12" width="18.42578125" customWidth="1"/>
  </cols>
  <sheetData>
    <row r="1" spans="2:12" ht="9.75" customHeight="1" x14ac:dyDescent="0.25"/>
    <row r="2" spans="2:12" ht="15.75" x14ac:dyDescent="0.25">
      <c r="B2" s="237" t="s">
        <v>66</v>
      </c>
      <c r="C2" s="237"/>
      <c r="D2" s="237"/>
      <c r="E2" s="237"/>
      <c r="F2" s="237"/>
      <c r="H2" s="237" t="s">
        <v>66</v>
      </c>
      <c r="I2" s="237"/>
      <c r="J2" s="237"/>
      <c r="K2" s="237"/>
      <c r="L2" s="237"/>
    </row>
    <row r="3" spans="2:12" x14ac:dyDescent="0.25">
      <c r="B3" s="83" t="s">
        <v>34</v>
      </c>
      <c r="C3" s="67"/>
      <c r="D3" s="83" t="s">
        <v>67</v>
      </c>
      <c r="E3" s="67"/>
      <c r="F3" s="83" t="s">
        <v>68</v>
      </c>
      <c r="H3" s="83" t="s">
        <v>34</v>
      </c>
      <c r="I3" s="67"/>
      <c r="J3" s="83" t="s">
        <v>67</v>
      </c>
      <c r="K3" s="67"/>
      <c r="L3" s="83" t="s">
        <v>68</v>
      </c>
    </row>
    <row r="4" spans="2:12" x14ac:dyDescent="0.25">
      <c r="B4" s="83" t="s">
        <v>69</v>
      </c>
      <c r="C4" s="67"/>
      <c r="D4" s="83" t="s">
        <v>70</v>
      </c>
      <c r="E4" s="67"/>
      <c r="F4" s="67"/>
      <c r="H4" s="83" t="s">
        <v>69</v>
      </c>
      <c r="I4" s="67"/>
      <c r="J4" s="83" t="s">
        <v>70</v>
      </c>
      <c r="K4" s="67"/>
      <c r="L4" s="67"/>
    </row>
    <row r="5" spans="2:12" x14ac:dyDescent="0.25">
      <c r="B5" s="83" t="s">
        <v>76</v>
      </c>
      <c r="C5" s="67"/>
      <c r="D5" s="239"/>
      <c r="E5" s="240"/>
      <c r="F5" s="241"/>
      <c r="H5" s="86" t="s">
        <v>76</v>
      </c>
      <c r="I5" s="85"/>
      <c r="J5" s="83" t="s">
        <v>78</v>
      </c>
      <c r="K5" s="88"/>
      <c r="L5" s="87"/>
    </row>
    <row r="6" spans="2:12" ht="45" customHeight="1" x14ac:dyDescent="0.25">
      <c r="B6" s="238" t="s">
        <v>77</v>
      </c>
      <c r="C6" s="238"/>
      <c r="D6" s="238"/>
      <c r="E6" s="238"/>
      <c r="F6" s="238"/>
      <c r="H6" s="238" t="s">
        <v>77</v>
      </c>
      <c r="I6" s="238"/>
      <c r="J6" s="238"/>
      <c r="K6" s="238"/>
      <c r="L6" s="238"/>
    </row>
    <row r="7" spans="2:12" ht="15.75" x14ac:dyDescent="0.25">
      <c r="B7" s="84" t="s">
        <v>71</v>
      </c>
      <c r="C7" s="84" t="s">
        <v>72</v>
      </c>
      <c r="D7" s="84" t="s">
        <v>73</v>
      </c>
      <c r="E7" s="84" t="s">
        <v>74</v>
      </c>
      <c r="F7" s="84" t="s">
        <v>75</v>
      </c>
      <c r="H7" s="228"/>
      <c r="I7" s="228"/>
      <c r="J7" s="228"/>
      <c r="K7" s="242" t="s">
        <v>79</v>
      </c>
      <c r="L7" s="242"/>
    </row>
    <row r="8" spans="2:12" x14ac:dyDescent="0.25">
      <c r="B8" s="67"/>
      <c r="C8" s="69"/>
      <c r="D8" s="69"/>
      <c r="E8" s="69"/>
      <c r="F8" s="69"/>
      <c r="H8" s="228"/>
      <c r="I8" s="228"/>
      <c r="J8" s="228"/>
      <c r="K8" s="242"/>
      <c r="L8" s="242"/>
    </row>
    <row r="9" spans="2:12" x14ac:dyDescent="0.25">
      <c r="B9" s="67"/>
      <c r="C9" s="69"/>
      <c r="D9" s="69"/>
      <c r="E9" s="69"/>
      <c r="F9" s="69"/>
      <c r="H9" s="228"/>
      <c r="I9" s="228"/>
      <c r="J9" s="228"/>
      <c r="K9" s="244"/>
      <c r="L9" s="228"/>
    </row>
    <row r="10" spans="2:12" x14ac:dyDescent="0.25">
      <c r="B10" s="67"/>
      <c r="C10" s="69"/>
      <c r="D10" s="69"/>
      <c r="E10" s="69"/>
      <c r="F10" s="69"/>
      <c r="H10" s="228"/>
      <c r="I10" s="228"/>
      <c r="J10" s="228"/>
      <c r="K10" s="244"/>
      <c r="L10" s="228"/>
    </row>
    <row r="11" spans="2:12" x14ac:dyDescent="0.25">
      <c r="B11" s="67"/>
      <c r="C11" s="69"/>
      <c r="D11" s="69"/>
      <c r="E11" s="69"/>
      <c r="F11" s="69"/>
      <c r="H11" s="228"/>
      <c r="I11" s="228"/>
      <c r="J11" s="228"/>
      <c r="K11" s="244"/>
      <c r="L11" s="228"/>
    </row>
    <row r="12" spans="2:12" x14ac:dyDescent="0.25">
      <c r="B12" s="67"/>
      <c r="C12" s="69"/>
      <c r="D12" s="69"/>
      <c r="E12" s="69"/>
      <c r="F12" s="69"/>
      <c r="H12" s="228"/>
      <c r="I12" s="228"/>
      <c r="J12" s="228"/>
      <c r="K12" s="244"/>
      <c r="L12" s="228"/>
    </row>
    <row r="13" spans="2:12" x14ac:dyDescent="0.25">
      <c r="B13" s="67"/>
      <c r="C13" s="69"/>
      <c r="D13" s="69"/>
      <c r="E13" s="69"/>
      <c r="F13" s="69"/>
      <c r="H13" s="228"/>
      <c r="I13" s="228"/>
      <c r="J13" s="228"/>
      <c r="K13" s="244"/>
      <c r="L13" s="228"/>
    </row>
    <row r="14" spans="2:12" x14ac:dyDescent="0.25">
      <c r="B14" s="69"/>
      <c r="C14" s="69"/>
      <c r="D14" s="69"/>
      <c r="E14" s="69"/>
      <c r="F14" s="69"/>
      <c r="H14" s="228"/>
      <c r="I14" s="228"/>
      <c r="J14" s="228"/>
      <c r="K14" s="244"/>
      <c r="L14" s="228"/>
    </row>
    <row r="15" spans="2:12" x14ac:dyDescent="0.25">
      <c r="B15" s="69"/>
      <c r="C15" s="69"/>
      <c r="D15" s="69"/>
      <c r="E15" s="69"/>
      <c r="F15" s="69"/>
      <c r="H15" s="228"/>
      <c r="I15" s="228"/>
      <c r="J15" s="228"/>
      <c r="K15" s="245"/>
      <c r="L15" s="228"/>
    </row>
    <row r="16" spans="2:12" x14ac:dyDescent="0.25">
      <c r="B16" s="69"/>
      <c r="C16" s="69"/>
      <c r="D16" s="69"/>
      <c r="E16" s="69"/>
      <c r="F16" s="69"/>
      <c r="H16" s="228"/>
      <c r="I16" s="228"/>
      <c r="J16" s="228"/>
      <c r="K16" s="245"/>
      <c r="L16" s="228"/>
    </row>
    <row r="17" spans="2:12" x14ac:dyDescent="0.25">
      <c r="B17" s="69"/>
      <c r="C17" s="69"/>
      <c r="D17" s="69"/>
      <c r="E17" s="69"/>
      <c r="F17" s="69"/>
      <c r="H17" s="228"/>
      <c r="I17" s="228"/>
      <c r="J17" s="228"/>
      <c r="K17" s="243" t="s">
        <v>25</v>
      </c>
      <c r="L17" s="228"/>
    </row>
    <row r="18" spans="2:12" x14ac:dyDescent="0.25">
      <c r="B18" s="69"/>
      <c r="C18" s="69"/>
      <c r="D18" s="69"/>
      <c r="E18" s="69"/>
      <c r="F18" s="69"/>
      <c r="H18" s="228"/>
      <c r="I18" s="228"/>
      <c r="J18" s="228"/>
      <c r="K18" s="243"/>
      <c r="L18" s="228"/>
    </row>
    <row r="19" spans="2:12" x14ac:dyDescent="0.25">
      <c r="B19" s="69"/>
      <c r="C19" s="69"/>
      <c r="D19" s="69"/>
      <c r="E19" s="69"/>
      <c r="F19" s="69"/>
      <c r="H19" s="228"/>
      <c r="I19" s="228"/>
      <c r="J19" s="228"/>
      <c r="K19" s="243"/>
      <c r="L19" s="243"/>
    </row>
    <row r="20" spans="2:12" x14ac:dyDescent="0.25">
      <c r="B20" s="69"/>
      <c r="C20" s="69"/>
      <c r="D20" s="69"/>
      <c r="E20" s="69"/>
      <c r="F20" s="69"/>
      <c r="H20" s="228"/>
      <c r="I20" s="228"/>
      <c r="J20" s="228"/>
      <c r="K20" s="243"/>
      <c r="L20" s="243"/>
    </row>
  </sheetData>
  <mergeCells count="18">
    <mergeCell ref="H7:J20"/>
    <mergeCell ref="K7:L8"/>
    <mergeCell ref="K17:K18"/>
    <mergeCell ref="K19:L20"/>
    <mergeCell ref="K9:K10"/>
    <mergeCell ref="K11:K12"/>
    <mergeCell ref="K13:K14"/>
    <mergeCell ref="K15:K16"/>
    <mergeCell ref="L17:L18"/>
    <mergeCell ref="L9:L10"/>
    <mergeCell ref="L11:L12"/>
    <mergeCell ref="L13:L14"/>
    <mergeCell ref="L15:L16"/>
    <mergeCell ref="B2:F2"/>
    <mergeCell ref="B6:F6"/>
    <mergeCell ref="H2:L2"/>
    <mergeCell ref="D5:F5"/>
    <mergeCell ref="H6:L6"/>
  </mergeCells>
  <phoneticPr fontId="8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E258-77BB-442A-9EB6-2C469490504D}">
  <dimension ref="B2:H18"/>
  <sheetViews>
    <sheetView showGridLines="0" zoomScale="80" zoomScaleNormal="80" workbookViewId="0">
      <selection activeCell="E24" sqref="E24"/>
    </sheetView>
  </sheetViews>
  <sheetFormatPr baseColWidth="10" defaultRowHeight="15" x14ac:dyDescent="0.25"/>
  <cols>
    <col min="1" max="1" width="3" customWidth="1"/>
    <col min="2" max="2" width="18.85546875" customWidth="1"/>
    <col min="3" max="3" width="32.28515625" customWidth="1"/>
    <col min="4" max="4" width="29.7109375" customWidth="1"/>
    <col min="5" max="5" width="28.28515625" customWidth="1"/>
    <col min="6" max="6" width="28.5703125" customWidth="1"/>
    <col min="7" max="7" width="29.140625" customWidth="1"/>
    <col min="8" max="8" width="26.42578125" customWidth="1"/>
  </cols>
  <sheetData>
    <row r="2" spans="2:8" ht="21" x14ac:dyDescent="0.35">
      <c r="B2" s="311" t="s">
        <v>41</v>
      </c>
      <c r="C2" s="311"/>
      <c r="D2" s="311"/>
      <c r="E2" s="311"/>
      <c r="F2" s="311"/>
      <c r="G2" s="311"/>
      <c r="H2" s="311"/>
    </row>
    <row r="3" spans="2:8" ht="33.75" customHeight="1" x14ac:dyDescent="0.25">
      <c r="B3" s="72" t="s">
        <v>42</v>
      </c>
      <c r="C3" s="73" t="s">
        <v>47</v>
      </c>
      <c r="D3" s="72" t="s">
        <v>43</v>
      </c>
      <c r="E3" s="72" t="s">
        <v>38</v>
      </c>
      <c r="F3" s="72" t="s">
        <v>44</v>
      </c>
      <c r="G3" s="72" t="s">
        <v>45</v>
      </c>
      <c r="H3" s="72" t="s">
        <v>46</v>
      </c>
    </row>
    <row r="4" spans="2:8" x14ac:dyDescent="0.25">
      <c r="B4" s="228"/>
      <c r="C4" s="228"/>
      <c r="D4" s="228"/>
      <c r="E4" s="228"/>
      <c r="F4" s="228"/>
      <c r="G4" s="228"/>
      <c r="H4" s="228"/>
    </row>
    <row r="5" spans="2:8" x14ac:dyDescent="0.25">
      <c r="B5" s="228"/>
      <c r="C5" s="228"/>
      <c r="D5" s="228"/>
      <c r="E5" s="228"/>
      <c r="F5" s="228"/>
      <c r="G5" s="228"/>
      <c r="H5" s="228"/>
    </row>
    <row r="6" spans="2:8" x14ac:dyDescent="0.25">
      <c r="B6" s="228"/>
      <c r="C6" s="228"/>
      <c r="D6" s="228"/>
      <c r="E6" s="228"/>
      <c r="F6" s="228"/>
      <c r="G6" s="228"/>
      <c r="H6" s="228"/>
    </row>
    <row r="7" spans="2:8" x14ac:dyDescent="0.25">
      <c r="B7" s="228"/>
      <c r="C7" s="228"/>
      <c r="D7" s="228"/>
      <c r="E7" s="228"/>
      <c r="F7" s="228"/>
      <c r="G7" s="228"/>
      <c r="H7" s="228"/>
    </row>
    <row r="8" spans="2:8" x14ac:dyDescent="0.25">
      <c r="B8" s="228"/>
      <c r="C8" s="228"/>
      <c r="D8" s="228"/>
      <c r="E8" s="228"/>
      <c r="F8" s="228"/>
      <c r="G8" s="228"/>
      <c r="H8" s="228"/>
    </row>
    <row r="9" spans="2:8" x14ac:dyDescent="0.25">
      <c r="B9" s="228"/>
      <c r="C9" s="228"/>
      <c r="D9" s="228"/>
      <c r="E9" s="228"/>
      <c r="F9" s="228"/>
      <c r="G9" s="228"/>
      <c r="H9" s="228"/>
    </row>
    <row r="10" spans="2:8" x14ac:dyDescent="0.25">
      <c r="B10" s="228"/>
      <c r="C10" s="228"/>
      <c r="D10" s="228"/>
      <c r="E10" s="228"/>
      <c r="F10" s="228"/>
      <c r="G10" s="228"/>
      <c r="H10" s="228"/>
    </row>
    <row r="11" spans="2:8" x14ac:dyDescent="0.25">
      <c r="B11" s="228"/>
      <c r="C11" s="228"/>
      <c r="D11" s="228"/>
      <c r="E11" s="228"/>
      <c r="F11" s="228"/>
      <c r="G11" s="228"/>
      <c r="H11" s="228"/>
    </row>
    <row r="12" spans="2:8" x14ac:dyDescent="0.25">
      <c r="B12" s="228"/>
      <c r="C12" s="228"/>
      <c r="D12" s="228"/>
      <c r="E12" s="228"/>
      <c r="F12" s="228"/>
      <c r="G12" s="228"/>
      <c r="H12" s="228"/>
    </row>
    <row r="13" spans="2:8" x14ac:dyDescent="0.25">
      <c r="B13" s="228"/>
      <c r="C13" s="228"/>
      <c r="D13" s="228"/>
      <c r="E13" s="228"/>
      <c r="F13" s="228"/>
      <c r="G13" s="228"/>
      <c r="H13" s="228"/>
    </row>
    <row r="14" spans="2:8" ht="15.75" x14ac:dyDescent="0.25">
      <c r="B14" s="246" t="s">
        <v>64</v>
      </c>
      <c r="C14" s="246"/>
      <c r="D14" s="246"/>
      <c r="E14" s="246"/>
      <c r="F14" s="246" t="s">
        <v>65</v>
      </c>
      <c r="G14" s="246"/>
      <c r="H14" s="246"/>
    </row>
    <row r="15" spans="2:8" x14ac:dyDescent="0.25">
      <c r="B15" s="228"/>
      <c r="C15" s="228"/>
      <c r="D15" s="228"/>
      <c r="E15" s="228"/>
      <c r="F15" s="228"/>
      <c r="G15" s="228"/>
      <c r="H15" s="228"/>
    </row>
    <row r="16" spans="2:8" x14ac:dyDescent="0.25">
      <c r="B16" s="228"/>
      <c r="C16" s="228"/>
      <c r="D16" s="228"/>
      <c r="E16" s="228"/>
      <c r="F16" s="228"/>
      <c r="G16" s="228"/>
      <c r="H16" s="228"/>
    </row>
    <row r="17" spans="2:8" x14ac:dyDescent="0.25">
      <c r="B17" s="228"/>
      <c r="C17" s="228"/>
      <c r="D17" s="228"/>
      <c r="E17" s="228"/>
      <c r="F17" s="228"/>
      <c r="G17" s="228"/>
      <c r="H17" s="228"/>
    </row>
    <row r="18" spans="2:8" x14ac:dyDescent="0.25">
      <c r="B18" s="228"/>
      <c r="C18" s="228"/>
      <c r="D18" s="228"/>
      <c r="E18" s="228"/>
      <c r="F18" s="228"/>
      <c r="G18" s="228"/>
      <c r="H18" s="228"/>
    </row>
  </sheetData>
  <mergeCells count="12">
    <mergeCell ref="B14:E14"/>
    <mergeCell ref="B15:E18"/>
    <mergeCell ref="F14:H14"/>
    <mergeCell ref="F15:H18"/>
    <mergeCell ref="B2:H2"/>
    <mergeCell ref="B4:B13"/>
    <mergeCell ref="C4:C13"/>
    <mergeCell ref="D4:D13"/>
    <mergeCell ref="E4:E13"/>
    <mergeCell ref="F4:F13"/>
    <mergeCell ref="G4:G13"/>
    <mergeCell ref="H4:H13"/>
  </mergeCells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BB0D-CFD6-4E32-80FF-6ECD8C1192FB}">
  <dimension ref="B1:H6"/>
  <sheetViews>
    <sheetView showGridLines="0" workbookViewId="0">
      <selection activeCell="F11" sqref="F11"/>
    </sheetView>
  </sheetViews>
  <sheetFormatPr baseColWidth="10" defaultRowHeight="15" x14ac:dyDescent="0.25"/>
  <cols>
    <col min="1" max="1" width="2.140625" customWidth="1"/>
    <col min="3" max="3" width="25.28515625" customWidth="1"/>
    <col min="4" max="4" width="13.42578125" customWidth="1"/>
    <col min="5" max="5" width="6.28515625" customWidth="1"/>
    <col min="6" max="6" width="20" customWidth="1"/>
    <col min="7" max="7" width="15.42578125" customWidth="1"/>
  </cols>
  <sheetData>
    <row r="1" spans="2:8" ht="12" customHeight="1" x14ac:dyDescent="0.25"/>
    <row r="2" spans="2:8" ht="15" customHeight="1" x14ac:dyDescent="0.25">
      <c r="B2" s="247" t="s">
        <v>89</v>
      </c>
      <c r="C2" s="247"/>
      <c r="D2" s="247"/>
      <c r="E2" s="247"/>
      <c r="F2" s="247"/>
      <c r="G2" s="247"/>
      <c r="H2" s="97"/>
    </row>
    <row r="3" spans="2:8" ht="15" customHeight="1" x14ac:dyDescent="0.25">
      <c r="B3" s="247"/>
      <c r="C3" s="247"/>
      <c r="D3" s="247"/>
      <c r="E3" s="247"/>
      <c r="F3" s="247"/>
      <c r="G3" s="247"/>
      <c r="H3" s="97"/>
    </row>
    <row r="4" spans="2:8" ht="28.5" x14ac:dyDescent="0.45">
      <c r="B4" s="248" t="s">
        <v>90</v>
      </c>
      <c r="C4" s="248"/>
      <c r="D4" s="98">
        <f>D6-D5</f>
        <v>0</v>
      </c>
      <c r="E4" s="312"/>
      <c r="F4" s="99" t="s">
        <v>91</v>
      </c>
      <c r="G4" s="100" t="e">
        <f>D5/D6</f>
        <v>#DIV/0!</v>
      </c>
    </row>
    <row r="5" spans="2:8" ht="28.5" x14ac:dyDescent="0.45">
      <c r="B5" s="248" t="s">
        <v>92</v>
      </c>
      <c r="C5" s="248"/>
      <c r="D5" s="98"/>
      <c r="E5" s="312"/>
      <c r="F5" s="249" t="s">
        <v>89</v>
      </c>
      <c r="G5" s="250" t="e">
        <f>D4/D6</f>
        <v>#DIV/0!</v>
      </c>
    </row>
    <row r="6" spans="2:8" ht="28.5" x14ac:dyDescent="0.45">
      <c r="B6" s="248" t="s">
        <v>93</v>
      </c>
      <c r="C6" s="248"/>
      <c r="D6" s="98"/>
      <c r="E6" s="312"/>
      <c r="F6" s="249"/>
      <c r="G6" s="250"/>
    </row>
  </sheetData>
  <mergeCells count="7">
    <mergeCell ref="B2:G3"/>
    <mergeCell ref="B4:C4"/>
    <mergeCell ref="E4:E6"/>
    <mergeCell ref="B5:C5"/>
    <mergeCell ref="F5:F6"/>
    <mergeCell ref="G5:G6"/>
    <mergeCell ref="B6:C6"/>
  </mergeCells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F210-3393-4E0D-8632-3EAF301EEAF1}">
  <dimension ref="B2:K20"/>
  <sheetViews>
    <sheetView zoomScale="90" zoomScaleNormal="90" workbookViewId="0">
      <selection activeCell="M9" sqref="M9"/>
    </sheetView>
  </sheetViews>
  <sheetFormatPr baseColWidth="10" defaultColWidth="9.140625" defaultRowHeight="12.75" x14ac:dyDescent="0.2"/>
  <cols>
    <col min="1" max="1" width="3.42578125" style="101" customWidth="1"/>
    <col min="2" max="2" width="10" style="101" customWidth="1"/>
    <col min="3" max="3" width="23.7109375" style="101" customWidth="1"/>
    <col min="4" max="4" width="14.42578125" style="101" customWidth="1"/>
    <col min="5" max="5" width="9.140625" style="101"/>
    <col min="6" max="6" width="10.85546875" style="101" customWidth="1"/>
    <col min="7" max="7" width="10" style="101" customWidth="1"/>
    <col min="8" max="8" width="13.85546875" style="101" customWidth="1"/>
    <col min="9" max="9" width="2.7109375" style="101" customWidth="1"/>
    <col min="10" max="10" width="13.42578125" style="101" customWidth="1"/>
    <col min="11" max="11" width="15.7109375" style="101" customWidth="1"/>
    <col min="12" max="12" width="20.42578125" style="101" bestFit="1" customWidth="1"/>
    <col min="13" max="259" width="9.140625" style="101"/>
    <col min="260" max="260" width="18.28515625" style="101" customWidth="1"/>
    <col min="261" max="261" width="19.5703125" style="101" customWidth="1"/>
    <col min="262" max="515" width="9.140625" style="101"/>
    <col min="516" max="516" width="18.28515625" style="101" customWidth="1"/>
    <col min="517" max="517" width="19.5703125" style="101" customWidth="1"/>
    <col min="518" max="771" width="9.140625" style="101"/>
    <col min="772" max="772" width="18.28515625" style="101" customWidth="1"/>
    <col min="773" max="773" width="19.5703125" style="101" customWidth="1"/>
    <col min="774" max="1027" width="9.140625" style="101"/>
    <col min="1028" max="1028" width="18.28515625" style="101" customWidth="1"/>
    <col min="1029" max="1029" width="19.5703125" style="101" customWidth="1"/>
    <col min="1030" max="1283" width="9.140625" style="101"/>
    <col min="1284" max="1284" width="18.28515625" style="101" customWidth="1"/>
    <col min="1285" max="1285" width="19.5703125" style="101" customWidth="1"/>
    <col min="1286" max="1539" width="9.140625" style="101"/>
    <col min="1540" max="1540" width="18.28515625" style="101" customWidth="1"/>
    <col min="1541" max="1541" width="19.5703125" style="101" customWidth="1"/>
    <col min="1542" max="1795" width="9.140625" style="101"/>
    <col min="1796" max="1796" width="18.28515625" style="101" customWidth="1"/>
    <col min="1797" max="1797" width="19.5703125" style="101" customWidth="1"/>
    <col min="1798" max="2051" width="9.140625" style="101"/>
    <col min="2052" max="2052" width="18.28515625" style="101" customWidth="1"/>
    <col min="2053" max="2053" width="19.5703125" style="101" customWidth="1"/>
    <col min="2054" max="2307" width="9.140625" style="101"/>
    <col min="2308" max="2308" width="18.28515625" style="101" customWidth="1"/>
    <col min="2309" max="2309" width="19.5703125" style="101" customWidth="1"/>
    <col min="2310" max="2563" width="9.140625" style="101"/>
    <col min="2564" max="2564" width="18.28515625" style="101" customWidth="1"/>
    <col min="2565" max="2565" width="19.5703125" style="101" customWidth="1"/>
    <col min="2566" max="2819" width="9.140625" style="101"/>
    <col min="2820" max="2820" width="18.28515625" style="101" customWidth="1"/>
    <col min="2821" max="2821" width="19.5703125" style="101" customWidth="1"/>
    <col min="2822" max="3075" width="9.140625" style="101"/>
    <col min="3076" max="3076" width="18.28515625" style="101" customWidth="1"/>
    <col min="3077" max="3077" width="19.5703125" style="101" customWidth="1"/>
    <col min="3078" max="3331" width="9.140625" style="101"/>
    <col min="3332" max="3332" width="18.28515625" style="101" customWidth="1"/>
    <col min="3333" max="3333" width="19.5703125" style="101" customWidth="1"/>
    <col min="3334" max="3587" width="9.140625" style="101"/>
    <col min="3588" max="3588" width="18.28515625" style="101" customWidth="1"/>
    <col min="3589" max="3589" width="19.5703125" style="101" customWidth="1"/>
    <col min="3590" max="3843" width="9.140625" style="101"/>
    <col min="3844" max="3844" width="18.28515625" style="101" customWidth="1"/>
    <col min="3845" max="3845" width="19.5703125" style="101" customWidth="1"/>
    <col min="3846" max="4099" width="9.140625" style="101"/>
    <col min="4100" max="4100" width="18.28515625" style="101" customWidth="1"/>
    <col min="4101" max="4101" width="19.5703125" style="101" customWidth="1"/>
    <col min="4102" max="4355" width="9.140625" style="101"/>
    <col min="4356" max="4356" width="18.28515625" style="101" customWidth="1"/>
    <col min="4357" max="4357" width="19.5703125" style="101" customWidth="1"/>
    <col min="4358" max="4611" width="9.140625" style="101"/>
    <col min="4612" max="4612" width="18.28515625" style="101" customWidth="1"/>
    <col min="4613" max="4613" width="19.5703125" style="101" customWidth="1"/>
    <col min="4614" max="4867" width="9.140625" style="101"/>
    <col min="4868" max="4868" width="18.28515625" style="101" customWidth="1"/>
    <col min="4869" max="4869" width="19.5703125" style="101" customWidth="1"/>
    <col min="4870" max="5123" width="9.140625" style="101"/>
    <col min="5124" max="5124" width="18.28515625" style="101" customWidth="1"/>
    <col min="5125" max="5125" width="19.5703125" style="101" customWidth="1"/>
    <col min="5126" max="5379" width="9.140625" style="101"/>
    <col min="5380" max="5380" width="18.28515625" style="101" customWidth="1"/>
    <col min="5381" max="5381" width="19.5703125" style="101" customWidth="1"/>
    <col min="5382" max="5635" width="9.140625" style="101"/>
    <col min="5636" max="5636" width="18.28515625" style="101" customWidth="1"/>
    <col min="5637" max="5637" width="19.5703125" style="101" customWidth="1"/>
    <col min="5638" max="5891" width="9.140625" style="101"/>
    <col min="5892" max="5892" width="18.28515625" style="101" customWidth="1"/>
    <col min="5893" max="5893" width="19.5703125" style="101" customWidth="1"/>
    <col min="5894" max="6147" width="9.140625" style="101"/>
    <col min="6148" max="6148" width="18.28515625" style="101" customWidth="1"/>
    <col min="6149" max="6149" width="19.5703125" style="101" customWidth="1"/>
    <col min="6150" max="6403" width="9.140625" style="101"/>
    <col min="6404" max="6404" width="18.28515625" style="101" customWidth="1"/>
    <col min="6405" max="6405" width="19.5703125" style="101" customWidth="1"/>
    <col min="6406" max="6659" width="9.140625" style="101"/>
    <col min="6660" max="6660" width="18.28515625" style="101" customWidth="1"/>
    <col min="6661" max="6661" width="19.5703125" style="101" customWidth="1"/>
    <col min="6662" max="6915" width="9.140625" style="101"/>
    <col min="6916" max="6916" width="18.28515625" style="101" customWidth="1"/>
    <col min="6917" max="6917" width="19.5703125" style="101" customWidth="1"/>
    <col min="6918" max="7171" width="9.140625" style="101"/>
    <col min="7172" max="7172" width="18.28515625" style="101" customWidth="1"/>
    <col min="7173" max="7173" width="19.5703125" style="101" customWidth="1"/>
    <col min="7174" max="7427" width="9.140625" style="101"/>
    <col min="7428" max="7428" width="18.28515625" style="101" customWidth="1"/>
    <col min="7429" max="7429" width="19.5703125" style="101" customWidth="1"/>
    <col min="7430" max="7683" width="9.140625" style="101"/>
    <col min="7684" max="7684" width="18.28515625" style="101" customWidth="1"/>
    <col min="7685" max="7685" width="19.5703125" style="101" customWidth="1"/>
    <col min="7686" max="7939" width="9.140625" style="101"/>
    <col min="7940" max="7940" width="18.28515625" style="101" customWidth="1"/>
    <col min="7941" max="7941" width="19.5703125" style="101" customWidth="1"/>
    <col min="7942" max="8195" width="9.140625" style="101"/>
    <col min="8196" max="8196" width="18.28515625" style="101" customWidth="1"/>
    <col min="8197" max="8197" width="19.5703125" style="101" customWidth="1"/>
    <col min="8198" max="8451" width="9.140625" style="101"/>
    <col min="8452" max="8452" width="18.28515625" style="101" customWidth="1"/>
    <col min="8453" max="8453" width="19.5703125" style="101" customWidth="1"/>
    <col min="8454" max="8707" width="9.140625" style="101"/>
    <col min="8708" max="8708" width="18.28515625" style="101" customWidth="1"/>
    <col min="8709" max="8709" width="19.5703125" style="101" customWidth="1"/>
    <col min="8710" max="8963" width="9.140625" style="101"/>
    <col min="8964" max="8964" width="18.28515625" style="101" customWidth="1"/>
    <col min="8965" max="8965" width="19.5703125" style="101" customWidth="1"/>
    <col min="8966" max="9219" width="9.140625" style="101"/>
    <col min="9220" max="9220" width="18.28515625" style="101" customWidth="1"/>
    <col min="9221" max="9221" width="19.5703125" style="101" customWidth="1"/>
    <col min="9222" max="9475" width="9.140625" style="101"/>
    <col min="9476" max="9476" width="18.28515625" style="101" customWidth="1"/>
    <col min="9477" max="9477" width="19.5703125" style="101" customWidth="1"/>
    <col min="9478" max="9731" width="9.140625" style="101"/>
    <col min="9732" max="9732" width="18.28515625" style="101" customWidth="1"/>
    <col min="9733" max="9733" width="19.5703125" style="101" customWidth="1"/>
    <col min="9734" max="9987" width="9.140625" style="101"/>
    <col min="9988" max="9988" width="18.28515625" style="101" customWidth="1"/>
    <col min="9989" max="9989" width="19.5703125" style="101" customWidth="1"/>
    <col min="9990" max="10243" width="9.140625" style="101"/>
    <col min="10244" max="10244" width="18.28515625" style="101" customWidth="1"/>
    <col min="10245" max="10245" width="19.5703125" style="101" customWidth="1"/>
    <col min="10246" max="10499" width="9.140625" style="101"/>
    <col min="10500" max="10500" width="18.28515625" style="101" customWidth="1"/>
    <col min="10501" max="10501" width="19.5703125" style="101" customWidth="1"/>
    <col min="10502" max="10755" width="9.140625" style="101"/>
    <col min="10756" max="10756" width="18.28515625" style="101" customWidth="1"/>
    <col min="10757" max="10757" width="19.5703125" style="101" customWidth="1"/>
    <col min="10758" max="11011" width="9.140625" style="101"/>
    <col min="11012" max="11012" width="18.28515625" style="101" customWidth="1"/>
    <col min="11013" max="11013" width="19.5703125" style="101" customWidth="1"/>
    <col min="11014" max="11267" width="9.140625" style="101"/>
    <col min="11268" max="11268" width="18.28515625" style="101" customWidth="1"/>
    <col min="11269" max="11269" width="19.5703125" style="101" customWidth="1"/>
    <col min="11270" max="11523" width="9.140625" style="101"/>
    <col min="11524" max="11524" width="18.28515625" style="101" customWidth="1"/>
    <col min="11525" max="11525" width="19.5703125" style="101" customWidth="1"/>
    <col min="11526" max="11779" width="9.140625" style="101"/>
    <col min="11780" max="11780" width="18.28515625" style="101" customWidth="1"/>
    <col min="11781" max="11781" width="19.5703125" style="101" customWidth="1"/>
    <col min="11782" max="12035" width="9.140625" style="101"/>
    <col min="12036" max="12036" width="18.28515625" style="101" customWidth="1"/>
    <col min="12037" max="12037" width="19.5703125" style="101" customWidth="1"/>
    <col min="12038" max="12291" width="9.140625" style="101"/>
    <col min="12292" max="12292" width="18.28515625" style="101" customWidth="1"/>
    <col min="12293" max="12293" width="19.5703125" style="101" customWidth="1"/>
    <col min="12294" max="12547" width="9.140625" style="101"/>
    <col min="12548" max="12548" width="18.28515625" style="101" customWidth="1"/>
    <col min="12549" max="12549" width="19.5703125" style="101" customWidth="1"/>
    <col min="12550" max="12803" width="9.140625" style="101"/>
    <col min="12804" max="12804" width="18.28515625" style="101" customWidth="1"/>
    <col min="12805" max="12805" width="19.5703125" style="101" customWidth="1"/>
    <col min="12806" max="13059" width="9.140625" style="101"/>
    <col min="13060" max="13060" width="18.28515625" style="101" customWidth="1"/>
    <col min="13061" max="13061" width="19.5703125" style="101" customWidth="1"/>
    <col min="13062" max="13315" width="9.140625" style="101"/>
    <col min="13316" max="13316" width="18.28515625" style="101" customWidth="1"/>
    <col min="13317" max="13317" width="19.5703125" style="101" customWidth="1"/>
    <col min="13318" max="13571" width="9.140625" style="101"/>
    <col min="13572" max="13572" width="18.28515625" style="101" customWidth="1"/>
    <col min="13573" max="13573" width="19.5703125" style="101" customWidth="1"/>
    <col min="13574" max="13827" width="9.140625" style="101"/>
    <col min="13828" max="13828" width="18.28515625" style="101" customWidth="1"/>
    <col min="13829" max="13829" width="19.5703125" style="101" customWidth="1"/>
    <col min="13830" max="14083" width="9.140625" style="101"/>
    <col min="14084" max="14084" width="18.28515625" style="101" customWidth="1"/>
    <col min="14085" max="14085" width="19.5703125" style="101" customWidth="1"/>
    <col min="14086" max="14339" width="9.140625" style="101"/>
    <col min="14340" max="14340" width="18.28515625" style="101" customWidth="1"/>
    <col min="14341" max="14341" width="19.5703125" style="101" customWidth="1"/>
    <col min="14342" max="14595" width="9.140625" style="101"/>
    <col min="14596" max="14596" width="18.28515625" style="101" customWidth="1"/>
    <col min="14597" max="14597" width="19.5703125" style="101" customWidth="1"/>
    <col min="14598" max="14851" width="9.140625" style="101"/>
    <col min="14852" max="14852" width="18.28515625" style="101" customWidth="1"/>
    <col min="14853" max="14853" width="19.5703125" style="101" customWidth="1"/>
    <col min="14854" max="15107" width="9.140625" style="101"/>
    <col min="15108" max="15108" width="18.28515625" style="101" customWidth="1"/>
    <col min="15109" max="15109" width="19.5703125" style="101" customWidth="1"/>
    <col min="15110" max="15363" width="9.140625" style="101"/>
    <col min="15364" max="15364" width="18.28515625" style="101" customWidth="1"/>
    <col min="15365" max="15365" width="19.5703125" style="101" customWidth="1"/>
    <col min="15366" max="15619" width="9.140625" style="101"/>
    <col min="15620" max="15620" width="18.28515625" style="101" customWidth="1"/>
    <col min="15621" max="15621" width="19.5703125" style="101" customWidth="1"/>
    <col min="15622" max="15875" width="9.140625" style="101"/>
    <col min="15876" max="15876" width="18.28515625" style="101" customWidth="1"/>
    <col min="15877" max="15877" width="19.5703125" style="101" customWidth="1"/>
    <col min="15878" max="16131" width="9.140625" style="101"/>
    <col min="16132" max="16132" width="18.28515625" style="101" customWidth="1"/>
    <col min="16133" max="16133" width="19.5703125" style="101" customWidth="1"/>
    <col min="16134" max="16384" width="9.140625" style="101"/>
  </cols>
  <sheetData>
    <row r="2" spans="2:11" ht="12.75" customHeight="1" x14ac:dyDescent="0.2">
      <c r="B2" s="253" t="s">
        <v>94</v>
      </c>
      <c r="C2" s="254"/>
      <c r="D2" s="254"/>
      <c r="E2" s="254"/>
      <c r="F2" s="254"/>
      <c r="G2" s="254"/>
      <c r="H2" s="254"/>
      <c r="I2" s="257"/>
      <c r="J2" s="253" t="s">
        <v>95</v>
      </c>
      <c r="K2" s="254"/>
    </row>
    <row r="3" spans="2:11" ht="12.75" customHeight="1" x14ac:dyDescent="0.2">
      <c r="B3" s="255"/>
      <c r="C3" s="256"/>
      <c r="D3" s="256"/>
      <c r="E3" s="256"/>
      <c r="F3" s="256"/>
      <c r="G3" s="256"/>
      <c r="H3" s="256"/>
      <c r="I3" s="258"/>
      <c r="J3" s="255"/>
      <c r="K3" s="256"/>
    </row>
    <row r="4" spans="2:11" ht="18.75" customHeight="1" x14ac:dyDescent="0.2">
      <c r="B4" s="102" t="s">
        <v>96</v>
      </c>
      <c r="C4" s="103" t="s">
        <v>97</v>
      </c>
      <c r="D4" s="103" t="s">
        <v>98</v>
      </c>
      <c r="E4" s="103" t="s">
        <v>99</v>
      </c>
      <c r="F4" s="103" t="s">
        <v>168</v>
      </c>
      <c r="G4" s="103" t="s">
        <v>100</v>
      </c>
      <c r="H4" s="104" t="s">
        <v>101</v>
      </c>
      <c r="I4" s="258"/>
      <c r="J4" s="105" t="s">
        <v>100</v>
      </c>
      <c r="K4" s="105" t="s">
        <v>101</v>
      </c>
    </row>
    <row r="5" spans="2:11" ht="18.75" customHeight="1" x14ac:dyDescent="0.2">
      <c r="B5" s="106" t="s">
        <v>102</v>
      </c>
      <c r="C5" s="107" t="s">
        <v>34</v>
      </c>
      <c r="D5" s="108"/>
      <c r="E5" s="260"/>
      <c r="F5" s="260"/>
      <c r="G5" s="260"/>
      <c r="H5" s="261"/>
      <c r="I5" s="258"/>
      <c r="J5" s="262"/>
      <c r="K5" s="263"/>
    </row>
    <row r="6" spans="2:11" ht="21.75" customHeight="1" x14ac:dyDescent="0.2">
      <c r="B6" s="106">
        <v>1</v>
      </c>
      <c r="C6" s="107" t="s">
        <v>103</v>
      </c>
      <c r="D6" s="108">
        <f>D5</f>
        <v>0</v>
      </c>
      <c r="E6" s="107"/>
      <c r="F6" s="107"/>
      <c r="G6" s="108">
        <f>D6-E6</f>
        <v>0</v>
      </c>
      <c r="H6" s="137" t="e">
        <f>G6/D6</f>
        <v>#DIV/0!</v>
      </c>
      <c r="I6" s="258"/>
      <c r="J6" s="108">
        <f>D6-E6-F6</f>
        <v>0</v>
      </c>
      <c r="K6" s="138" t="e">
        <f>J6/D6</f>
        <v>#DIV/0!</v>
      </c>
    </row>
    <row r="7" spans="2:11" ht="18" x14ac:dyDescent="0.2">
      <c r="B7" s="106">
        <v>2</v>
      </c>
      <c r="C7" s="107" t="s">
        <v>104</v>
      </c>
      <c r="D7" s="108">
        <f>D6-E6-F6+F6</f>
        <v>0</v>
      </c>
      <c r="E7" s="107"/>
      <c r="F7" s="107"/>
      <c r="G7" s="108">
        <f t="shared" ref="G7:G9" si="0">D7-E7</f>
        <v>0</v>
      </c>
      <c r="H7" s="137" t="e">
        <f t="shared" ref="H7:H9" si="1">G7/D7</f>
        <v>#DIV/0!</v>
      </c>
      <c r="I7" s="258"/>
      <c r="J7" s="108">
        <f>J6-E7-F7</f>
        <v>0</v>
      </c>
      <c r="K7" s="138" t="e">
        <f>J7/J6</f>
        <v>#DIV/0!</v>
      </c>
    </row>
    <row r="8" spans="2:11" ht="18" x14ac:dyDescent="0.2">
      <c r="B8" s="106">
        <v>3</v>
      </c>
      <c r="C8" s="107" t="s">
        <v>105</v>
      </c>
      <c r="D8" s="108">
        <f t="shared" ref="D8:D9" si="2">D7-E7-F7+F7</f>
        <v>0</v>
      </c>
      <c r="E8" s="107"/>
      <c r="F8" s="107"/>
      <c r="G8" s="108">
        <f t="shared" si="0"/>
        <v>0</v>
      </c>
      <c r="H8" s="137" t="e">
        <f t="shared" si="1"/>
        <v>#DIV/0!</v>
      </c>
      <c r="I8" s="258"/>
      <c r="J8" s="108">
        <f t="shared" ref="J8:J11" si="3">J7-E8-F8</f>
        <v>0</v>
      </c>
      <c r="K8" s="138" t="e">
        <f t="shared" ref="K8:K11" si="4">J8/J7</f>
        <v>#DIV/0!</v>
      </c>
    </row>
    <row r="9" spans="2:11" ht="18" x14ac:dyDescent="0.2">
      <c r="B9" s="106">
        <v>4</v>
      </c>
      <c r="C9" s="107" t="s">
        <v>106</v>
      </c>
      <c r="D9" s="108">
        <f t="shared" si="2"/>
        <v>0</v>
      </c>
      <c r="E9" s="107"/>
      <c r="F9" s="107"/>
      <c r="G9" s="108">
        <f t="shared" si="0"/>
        <v>0</v>
      </c>
      <c r="H9" s="137" t="e">
        <f t="shared" si="1"/>
        <v>#DIV/0!</v>
      </c>
      <c r="I9" s="258"/>
      <c r="J9" s="108">
        <f t="shared" si="3"/>
        <v>0</v>
      </c>
      <c r="K9" s="138" t="e">
        <f t="shared" si="4"/>
        <v>#DIV/0!</v>
      </c>
    </row>
    <row r="10" spans="2:11" ht="18" x14ac:dyDescent="0.2">
      <c r="B10" s="109">
        <v>5</v>
      </c>
      <c r="C10" s="107" t="s">
        <v>107</v>
      </c>
      <c r="D10" s="108">
        <f>D9-E9-F9+F9</f>
        <v>0</v>
      </c>
      <c r="E10" s="109"/>
      <c r="F10" s="109"/>
      <c r="G10" s="108">
        <f>D10-E10</f>
        <v>0</v>
      </c>
      <c r="H10" s="137" t="e">
        <f>G10/D10</f>
        <v>#DIV/0!</v>
      </c>
      <c r="I10" s="258"/>
      <c r="J10" s="108">
        <f t="shared" si="3"/>
        <v>0</v>
      </c>
      <c r="K10" s="138" t="e">
        <f t="shared" si="4"/>
        <v>#DIV/0!</v>
      </c>
    </row>
    <row r="11" spans="2:11" ht="18" x14ac:dyDescent="0.2">
      <c r="B11" s="109">
        <v>6</v>
      </c>
      <c r="C11" s="107" t="s">
        <v>108</v>
      </c>
      <c r="D11" s="108">
        <f>D10-E10-F10+F10</f>
        <v>0</v>
      </c>
      <c r="E11" s="109"/>
      <c r="F11" s="109"/>
      <c r="G11" s="108">
        <f>D11-E11</f>
        <v>0</v>
      </c>
      <c r="H11" s="137" t="e">
        <f>G11/D11</f>
        <v>#DIV/0!</v>
      </c>
      <c r="I11" s="258"/>
      <c r="J11" s="108">
        <f t="shared" si="3"/>
        <v>0</v>
      </c>
      <c r="K11" s="138" t="e">
        <f t="shared" si="4"/>
        <v>#DIV/0!</v>
      </c>
    </row>
    <row r="12" spans="2:11" x14ac:dyDescent="0.2">
      <c r="B12" s="264" t="s">
        <v>109</v>
      </c>
      <c r="C12" s="264"/>
      <c r="D12" s="264"/>
      <c r="E12" s="264"/>
      <c r="F12" s="264"/>
      <c r="G12" s="264"/>
      <c r="H12" s="265" t="e">
        <f>PRODUCT(H6:H11)</f>
        <v>#DIV/0!</v>
      </c>
      <c r="I12" s="258"/>
      <c r="J12" s="264" t="s">
        <v>110</v>
      </c>
      <c r="K12" s="266" t="e">
        <f>PRODUCT(K6:K11)</f>
        <v>#DIV/0!</v>
      </c>
    </row>
    <row r="13" spans="2:11" x14ac:dyDescent="0.2">
      <c r="B13" s="264"/>
      <c r="C13" s="264"/>
      <c r="D13" s="264"/>
      <c r="E13" s="264"/>
      <c r="F13" s="264"/>
      <c r="G13" s="264"/>
      <c r="H13" s="265"/>
      <c r="I13" s="259"/>
      <c r="J13" s="264"/>
      <c r="K13" s="266"/>
    </row>
    <row r="18" spans="3:8" ht="18" x14ac:dyDescent="0.25">
      <c r="C18" s="110" t="s">
        <v>111</v>
      </c>
      <c r="D18" s="111">
        <f>G11</f>
        <v>0</v>
      </c>
      <c r="E18" s="251" t="s">
        <v>112</v>
      </c>
      <c r="F18" s="251"/>
      <c r="G18" s="251"/>
      <c r="H18" s="252">
        <f>J11</f>
        <v>0</v>
      </c>
    </row>
    <row r="19" spans="3:8" ht="18" x14ac:dyDescent="0.25">
      <c r="C19" s="112" t="s">
        <v>113</v>
      </c>
      <c r="D19" s="113">
        <f>SUM(E6:E11)</f>
        <v>0</v>
      </c>
      <c r="E19" s="251"/>
      <c r="F19" s="251"/>
      <c r="G19" s="251"/>
      <c r="H19" s="252"/>
    </row>
    <row r="20" spans="3:8" ht="18" x14ac:dyDescent="0.25">
      <c r="C20" s="112" t="s">
        <v>114</v>
      </c>
      <c r="D20" s="113">
        <f>SUM(F6:F11)</f>
        <v>0</v>
      </c>
      <c r="E20" s="251"/>
      <c r="F20" s="251"/>
      <c r="G20" s="251"/>
      <c r="H20" s="252"/>
    </row>
  </sheetData>
  <mergeCells count="11">
    <mergeCell ref="E18:G20"/>
    <mergeCell ref="H18:H20"/>
    <mergeCell ref="B2:H3"/>
    <mergeCell ref="I2:I13"/>
    <mergeCell ref="J2:K3"/>
    <mergeCell ref="E5:H5"/>
    <mergeCell ref="J5:K5"/>
    <mergeCell ref="B12:G13"/>
    <mergeCell ref="H12:H13"/>
    <mergeCell ref="J12:J13"/>
    <mergeCell ref="K12:K13"/>
  </mergeCells>
  <pageMargins left="0.75" right="0.75" top="1" bottom="1" header="0.5" footer="0.5"/>
  <pageSetup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3141-4166-49C0-BFF4-E937295E4AB7}">
  <dimension ref="B1:J18"/>
  <sheetViews>
    <sheetView showGridLines="0" workbookViewId="0">
      <selection activeCell="C7" sqref="C7"/>
    </sheetView>
  </sheetViews>
  <sheetFormatPr baseColWidth="10" defaultRowHeight="15" x14ac:dyDescent="0.25"/>
  <cols>
    <col min="1" max="1" width="2.5703125" customWidth="1"/>
    <col min="4" max="4" width="70.7109375" customWidth="1"/>
  </cols>
  <sheetData>
    <row r="1" spans="2:10" ht="10.5" customHeight="1" x14ac:dyDescent="0.25"/>
    <row r="2" spans="2:10" ht="18.75" x14ac:dyDescent="0.3">
      <c r="B2" s="267" t="s">
        <v>154</v>
      </c>
      <c r="C2" s="267"/>
      <c r="D2" s="267"/>
    </row>
    <row r="3" spans="2:10" x14ac:dyDescent="0.25">
      <c r="B3" s="146" t="s">
        <v>152</v>
      </c>
      <c r="C3" s="145"/>
      <c r="D3" s="228"/>
    </row>
    <row r="4" spans="2:10" x14ac:dyDescent="0.25">
      <c r="B4" s="143" t="s">
        <v>153</v>
      </c>
      <c r="C4" s="143">
        <f>C3</f>
        <v>0</v>
      </c>
      <c r="D4" s="228"/>
    </row>
    <row r="5" spans="2:10" x14ac:dyDescent="0.25">
      <c r="B5" s="147" t="s">
        <v>155</v>
      </c>
      <c r="C5" s="148"/>
      <c r="D5" s="228"/>
    </row>
    <row r="6" spans="2:10" x14ac:dyDescent="0.25">
      <c r="B6" s="147" t="s">
        <v>156</v>
      </c>
      <c r="C6" s="148"/>
      <c r="D6" s="228"/>
    </row>
    <row r="7" spans="2:10" x14ac:dyDescent="0.25">
      <c r="B7" s="147" t="s">
        <v>157</v>
      </c>
      <c r="C7" s="148"/>
      <c r="D7" s="228"/>
    </row>
    <row r="8" spans="2:10" x14ac:dyDescent="0.25">
      <c r="B8" s="147" t="s">
        <v>158</v>
      </c>
      <c r="C8" s="148"/>
      <c r="D8" s="228"/>
    </row>
    <row r="9" spans="2:10" x14ac:dyDescent="0.25">
      <c r="B9" s="147" t="s">
        <v>159</v>
      </c>
      <c r="C9" s="148"/>
      <c r="D9" s="228"/>
    </row>
    <row r="10" spans="2:10" x14ac:dyDescent="0.25">
      <c r="B10" s="147" t="s">
        <v>160</v>
      </c>
      <c r="C10" s="148"/>
      <c r="D10" s="228"/>
    </row>
    <row r="11" spans="2:10" x14ac:dyDescent="0.25">
      <c r="B11" s="147" t="s">
        <v>161</v>
      </c>
      <c r="C11" s="148"/>
      <c r="D11" s="228"/>
    </row>
    <row r="12" spans="2:10" ht="18.75" x14ac:dyDescent="0.25">
      <c r="B12" s="147" t="s">
        <v>162</v>
      </c>
      <c r="C12" s="149"/>
      <c r="D12" s="228"/>
      <c r="J12" s="150"/>
    </row>
    <row r="13" spans="2:10" x14ac:dyDescent="0.25">
      <c r="B13" s="147" t="s">
        <v>163</v>
      </c>
      <c r="C13" s="149"/>
      <c r="D13" s="228"/>
    </row>
    <row r="14" spans="2:10" x14ac:dyDescent="0.25">
      <c r="B14" s="147" t="s">
        <v>164</v>
      </c>
      <c r="C14" s="149"/>
      <c r="D14" s="228"/>
    </row>
    <row r="15" spans="2:10" x14ac:dyDescent="0.25">
      <c r="B15" s="147" t="s">
        <v>165</v>
      </c>
      <c r="C15" s="149"/>
      <c r="D15" s="228"/>
    </row>
    <row r="16" spans="2:10" x14ac:dyDescent="0.25">
      <c r="B16" s="147" t="s">
        <v>166</v>
      </c>
      <c r="C16" s="149"/>
      <c r="D16" s="228"/>
    </row>
    <row r="17" spans="2:4" x14ac:dyDescent="0.25">
      <c r="B17" s="147" t="s">
        <v>155</v>
      </c>
      <c r="C17" s="149"/>
      <c r="D17" s="228"/>
    </row>
    <row r="18" spans="2:4" x14ac:dyDescent="0.25">
      <c r="B18" s="144"/>
    </row>
  </sheetData>
  <mergeCells count="2">
    <mergeCell ref="B2:D2"/>
    <mergeCell ref="D3:D17"/>
  </mergeCells>
  <phoneticPr fontId="8" type="noConversion"/>
  <pageMargins left="0.7" right="0.7" top="0.75" bottom="0.75" header="0.3" footer="0.3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24CCA-58B2-4116-B094-720A278A5222}">
  <dimension ref="B1:G16"/>
  <sheetViews>
    <sheetView showGridLines="0" workbookViewId="0">
      <selection activeCell="G13" sqref="G13"/>
    </sheetView>
  </sheetViews>
  <sheetFormatPr baseColWidth="10" defaultRowHeight="15" x14ac:dyDescent="0.25"/>
  <cols>
    <col min="1" max="1" width="2.85546875" customWidth="1"/>
    <col min="2" max="2" width="30.28515625" bestFit="1" customWidth="1"/>
    <col min="3" max="3" width="21" customWidth="1"/>
    <col min="4" max="4" width="14" customWidth="1"/>
    <col min="6" max="6" width="23.5703125" customWidth="1"/>
  </cols>
  <sheetData>
    <row r="1" spans="2:7" ht="13.5" customHeight="1" x14ac:dyDescent="0.25">
      <c r="F1" s="91" t="s">
        <v>115</v>
      </c>
      <c r="G1" s="114"/>
    </row>
    <row r="2" spans="2:7" ht="15.75" x14ac:dyDescent="0.25">
      <c r="B2" s="268" t="s">
        <v>116</v>
      </c>
      <c r="C2" s="268"/>
      <c r="D2" s="268"/>
      <c r="F2" s="92" t="s">
        <v>117</v>
      </c>
      <c r="G2" s="114"/>
    </row>
    <row r="3" spans="2:7" x14ac:dyDescent="0.25">
      <c r="B3" s="79" t="s">
        <v>118</v>
      </c>
      <c r="C3" s="228"/>
      <c r="D3" s="228"/>
      <c r="F3" s="92" t="s">
        <v>119</v>
      </c>
      <c r="G3" s="114"/>
    </row>
    <row r="4" spans="2:7" x14ac:dyDescent="0.25">
      <c r="B4" s="79" t="s">
        <v>120</v>
      </c>
      <c r="C4" s="79" t="s">
        <v>115</v>
      </c>
      <c r="D4" s="89" t="s">
        <v>121</v>
      </c>
    </row>
    <row r="5" spans="2:7" x14ac:dyDescent="0.25">
      <c r="B5" s="69"/>
      <c r="C5" s="69"/>
      <c r="D5" s="90"/>
    </row>
    <row r="6" spans="2:7" x14ac:dyDescent="0.25">
      <c r="B6" s="69"/>
      <c r="C6" s="69"/>
      <c r="D6" s="90"/>
    </row>
    <row r="7" spans="2:7" x14ac:dyDescent="0.25">
      <c r="B7" s="69"/>
      <c r="C7" s="69"/>
      <c r="D7" s="90"/>
    </row>
    <row r="8" spans="2:7" x14ac:dyDescent="0.25">
      <c r="B8" s="139"/>
      <c r="C8" s="69"/>
      <c r="D8" s="90"/>
    </row>
    <row r="9" spans="2:7" x14ac:dyDescent="0.25">
      <c r="B9" s="69"/>
      <c r="C9" s="69"/>
      <c r="D9" s="90"/>
    </row>
    <row r="10" spans="2:7" x14ac:dyDescent="0.25">
      <c r="B10" s="69"/>
      <c r="C10" s="69"/>
      <c r="D10" s="90"/>
    </row>
    <row r="11" spans="2:7" x14ac:dyDescent="0.25">
      <c r="B11" s="69"/>
      <c r="C11" s="69"/>
      <c r="D11" s="90"/>
    </row>
    <row r="12" spans="2:7" x14ac:dyDescent="0.25">
      <c r="B12" s="69"/>
      <c r="C12" s="69"/>
      <c r="D12" s="90"/>
    </row>
    <row r="13" spans="2:7" x14ac:dyDescent="0.25">
      <c r="B13" s="69"/>
      <c r="C13" s="69"/>
      <c r="D13" s="90"/>
    </row>
    <row r="14" spans="2:7" ht="15.75" x14ac:dyDescent="0.25">
      <c r="B14" s="69"/>
      <c r="C14" s="79" t="s">
        <v>122</v>
      </c>
      <c r="D14" s="90">
        <f>SUMIF(C5:C13,"=VA",D5:D13)</f>
        <v>0</v>
      </c>
      <c r="E14" s="115" t="e">
        <f>D14/D16</f>
        <v>#DIV/0!</v>
      </c>
    </row>
    <row r="15" spans="2:7" ht="15.75" x14ac:dyDescent="0.25">
      <c r="B15" s="69"/>
      <c r="C15" s="79" t="s">
        <v>123</v>
      </c>
      <c r="D15" s="90">
        <f>SUMIF(C5:C13,"=NVA",D5:D13)</f>
        <v>0</v>
      </c>
      <c r="E15" s="115" t="e">
        <f>D15/D16</f>
        <v>#DIV/0!</v>
      </c>
    </row>
    <row r="16" spans="2:7" ht="15.75" x14ac:dyDescent="0.25">
      <c r="B16" s="223" t="s">
        <v>25</v>
      </c>
      <c r="C16" s="224"/>
      <c r="D16" s="82">
        <f>SUM(D14:D15)</f>
        <v>0</v>
      </c>
      <c r="E16" s="116" t="e">
        <f>D16/D16</f>
        <v>#DIV/0!</v>
      </c>
    </row>
  </sheetData>
  <mergeCells count="3">
    <mergeCell ref="B2:D2"/>
    <mergeCell ref="C3:D3"/>
    <mergeCell ref="B16:C16"/>
  </mergeCells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59337-00E1-4466-8C49-2AC4DC59922C}">
  <dimension ref="B1:I4"/>
  <sheetViews>
    <sheetView showGridLines="0" workbookViewId="0">
      <selection activeCell="G14" sqref="G14"/>
    </sheetView>
  </sheetViews>
  <sheetFormatPr baseColWidth="10" defaultRowHeight="15" x14ac:dyDescent="0.25"/>
  <cols>
    <col min="1" max="1" width="2.140625" customWidth="1"/>
    <col min="2" max="2" width="13.5703125" bestFit="1" customWidth="1"/>
    <col min="3" max="3" width="21.140625" bestFit="1" customWidth="1"/>
    <col min="4" max="4" width="10.85546875" bestFit="1" customWidth="1"/>
    <col min="5" max="5" width="7.7109375" customWidth="1"/>
    <col min="6" max="6" width="13.42578125" bestFit="1" customWidth="1"/>
    <col min="7" max="7" width="16.7109375" bestFit="1" customWidth="1"/>
    <col min="8" max="8" width="17.140625" bestFit="1" customWidth="1"/>
    <col min="9" max="9" width="12.5703125" bestFit="1" customWidth="1"/>
  </cols>
  <sheetData>
    <row r="1" spans="2:9" ht="12" customHeight="1" x14ac:dyDescent="0.25"/>
    <row r="2" spans="2:9" ht="18.75" x14ac:dyDescent="0.3">
      <c r="B2" s="269" t="s">
        <v>124</v>
      </c>
      <c r="C2" s="269"/>
      <c r="D2" s="269"/>
      <c r="E2" s="269"/>
      <c r="F2" s="269"/>
      <c r="G2" s="269"/>
      <c r="H2" s="269"/>
      <c r="I2" s="269"/>
    </row>
    <row r="3" spans="2:9" ht="18.75" x14ac:dyDescent="0.3">
      <c r="B3" s="313" t="s">
        <v>23</v>
      </c>
      <c r="C3" s="313" t="s">
        <v>125</v>
      </c>
      <c r="D3" s="313" t="s">
        <v>126</v>
      </c>
      <c r="E3" s="313" t="s">
        <v>127</v>
      </c>
      <c r="F3" s="313" t="s">
        <v>128</v>
      </c>
      <c r="G3" s="313" t="s">
        <v>129</v>
      </c>
      <c r="H3" s="313" t="s">
        <v>130</v>
      </c>
      <c r="I3" s="313" t="s">
        <v>131</v>
      </c>
    </row>
    <row r="4" spans="2:9" ht="18.75" x14ac:dyDescent="0.3">
      <c r="B4" s="117"/>
      <c r="C4" s="117"/>
      <c r="D4" s="117"/>
      <c r="E4" s="117">
        <f>C4-D4</f>
        <v>0</v>
      </c>
      <c r="F4" s="118" t="e">
        <f>D4/C4</f>
        <v>#DIV/0!</v>
      </c>
      <c r="G4" s="118" t="e">
        <f>E4/C4</f>
        <v>#DIV/0!</v>
      </c>
      <c r="H4" s="117" t="e">
        <f>F4*1000000</f>
        <v>#DIV/0!</v>
      </c>
      <c r="I4" s="117" t="e">
        <f>G4*1000000</f>
        <v>#DIV/0!</v>
      </c>
    </row>
  </sheetData>
  <mergeCells count="1">
    <mergeCell ref="B2:I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0671-25A5-4E0D-A3BE-394EEA5E053F}">
  <dimension ref="B1:L17"/>
  <sheetViews>
    <sheetView showGridLines="0" workbookViewId="0">
      <selection activeCell="E7" sqref="E7"/>
    </sheetView>
  </sheetViews>
  <sheetFormatPr baseColWidth="10" defaultRowHeight="15" x14ac:dyDescent="0.25"/>
  <cols>
    <col min="1" max="1" width="2.140625" customWidth="1"/>
    <col min="3" max="3" width="18.5703125" customWidth="1"/>
    <col min="4" max="4" width="11.5703125" customWidth="1"/>
    <col min="5" max="5" width="16.7109375" customWidth="1"/>
    <col min="6" max="6" width="22" customWidth="1"/>
    <col min="7" max="7" width="18" customWidth="1"/>
    <col min="8" max="8" width="16.5703125" customWidth="1"/>
    <col min="9" max="9" width="2.7109375" customWidth="1"/>
    <col min="10" max="10" width="21.85546875" customWidth="1"/>
  </cols>
  <sheetData>
    <row r="1" spans="2:12" ht="10.5" customHeight="1" x14ac:dyDescent="0.25"/>
    <row r="2" spans="2:12" ht="18.75" x14ac:dyDescent="0.25">
      <c r="B2" s="271" t="s">
        <v>132</v>
      </c>
      <c r="C2" s="271"/>
      <c r="D2" s="271"/>
      <c r="E2" s="271"/>
      <c r="F2" s="271"/>
      <c r="G2" s="271"/>
      <c r="H2" s="271"/>
      <c r="I2" s="271"/>
      <c r="J2" s="271"/>
      <c r="K2" s="271"/>
      <c r="L2" s="271"/>
    </row>
    <row r="3" spans="2:12" ht="9.75" customHeight="1" x14ac:dyDescent="0.25"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</row>
    <row r="4" spans="2:12" x14ac:dyDescent="0.25">
      <c r="B4" s="273"/>
      <c r="C4" s="274"/>
      <c r="D4" s="223" t="s">
        <v>133</v>
      </c>
      <c r="E4" s="277"/>
      <c r="F4" s="277"/>
      <c r="G4" s="224"/>
      <c r="H4" s="229"/>
      <c r="I4" s="278"/>
      <c r="J4" s="225" t="s">
        <v>134</v>
      </c>
      <c r="K4" s="225"/>
      <c r="L4" s="225"/>
    </row>
    <row r="5" spans="2:12" x14ac:dyDescent="0.25">
      <c r="B5" s="275"/>
      <c r="C5" s="276"/>
      <c r="D5" s="79">
        <v>1</v>
      </c>
      <c r="E5" s="79">
        <v>2</v>
      </c>
      <c r="F5" s="79">
        <v>3</v>
      </c>
      <c r="G5" s="119">
        <v>4</v>
      </c>
      <c r="H5" s="229"/>
      <c r="I5" s="279"/>
      <c r="J5" s="225"/>
      <c r="K5" s="225"/>
      <c r="L5" s="225"/>
    </row>
    <row r="6" spans="2:12" x14ac:dyDescent="0.25">
      <c r="B6" s="120" t="s">
        <v>23</v>
      </c>
      <c r="C6" s="121" t="s">
        <v>125</v>
      </c>
      <c r="D6" s="122" t="s">
        <v>135</v>
      </c>
      <c r="E6" s="122" t="s">
        <v>136</v>
      </c>
      <c r="F6" s="122" t="s">
        <v>137</v>
      </c>
      <c r="G6" s="122" t="s">
        <v>138</v>
      </c>
      <c r="H6" s="123" t="s">
        <v>139</v>
      </c>
      <c r="I6" s="279"/>
      <c r="J6" s="79" t="s">
        <v>140</v>
      </c>
      <c r="K6" s="229" t="s">
        <v>133</v>
      </c>
      <c r="L6" s="229"/>
    </row>
    <row r="7" spans="2:12" x14ac:dyDescent="0.25">
      <c r="B7" s="140"/>
      <c r="C7" s="124"/>
      <c r="D7" s="69"/>
      <c r="E7" s="69"/>
      <c r="F7" s="69"/>
      <c r="G7" s="69"/>
      <c r="H7" s="125">
        <f>SUM(D7:G7)</f>
        <v>0</v>
      </c>
      <c r="I7" s="279"/>
      <c r="J7" s="69">
        <f>Tabla10[[#Totals],[UNITS INSPECTED]]</f>
        <v>0</v>
      </c>
      <c r="K7" s="228">
        <f>COUNT(D5:G5)</f>
        <v>4</v>
      </c>
      <c r="L7" s="228"/>
    </row>
    <row r="8" spans="2:12" x14ac:dyDescent="0.25">
      <c r="B8" s="140"/>
      <c r="C8" s="124"/>
      <c r="D8" s="69"/>
      <c r="E8" s="69"/>
      <c r="F8" s="69"/>
      <c r="G8" s="69"/>
      <c r="H8" s="125">
        <f t="shared" ref="H8:H16" si="0">SUM(D8:G8)</f>
        <v>0</v>
      </c>
      <c r="I8" s="279"/>
      <c r="J8" s="228"/>
      <c r="K8" s="228"/>
      <c r="L8" s="228"/>
    </row>
    <row r="9" spans="2:12" ht="15.75" x14ac:dyDescent="0.25">
      <c r="B9" s="140"/>
      <c r="C9" s="124"/>
      <c r="D9" s="69"/>
      <c r="E9" s="69"/>
      <c r="F9" s="69"/>
      <c r="G9" s="69"/>
      <c r="H9" s="125">
        <f t="shared" si="0"/>
        <v>0</v>
      </c>
      <c r="I9" s="279"/>
      <c r="J9" s="122" t="s">
        <v>141</v>
      </c>
      <c r="K9" s="69">
        <f>J7*K7</f>
        <v>0</v>
      </c>
      <c r="L9" s="126">
        <v>1</v>
      </c>
    </row>
    <row r="10" spans="2:12" ht="15.75" x14ac:dyDescent="0.25">
      <c r="B10" s="140"/>
      <c r="C10" s="124"/>
      <c r="D10" s="69"/>
      <c r="E10" s="69"/>
      <c r="F10" s="69"/>
      <c r="G10" s="69"/>
      <c r="H10" s="125">
        <f t="shared" si="0"/>
        <v>0</v>
      </c>
      <c r="I10" s="279"/>
      <c r="J10" s="79" t="s">
        <v>139</v>
      </c>
      <c r="K10" s="69">
        <f>Tabla10[[#Totals],[TOTAL DEFECTS]]</f>
        <v>0</v>
      </c>
      <c r="L10" s="127" t="e">
        <f>K10/K9</f>
        <v>#DIV/0!</v>
      </c>
    </row>
    <row r="11" spans="2:12" x14ac:dyDescent="0.25">
      <c r="B11" s="140"/>
      <c r="C11" s="124"/>
      <c r="D11" s="69"/>
      <c r="E11" s="69"/>
      <c r="F11" s="69"/>
      <c r="G11" s="69"/>
      <c r="H11" s="125">
        <f t="shared" si="0"/>
        <v>0</v>
      </c>
      <c r="I11" s="279"/>
      <c r="J11" s="228"/>
      <c r="K11" s="228"/>
      <c r="L11" s="228"/>
    </row>
    <row r="12" spans="2:12" ht="18.75" x14ac:dyDescent="0.3">
      <c r="B12" s="140"/>
      <c r="C12" s="124"/>
      <c r="D12" s="69"/>
      <c r="E12" s="69"/>
      <c r="F12" s="69"/>
      <c r="G12" s="69"/>
      <c r="H12" s="125">
        <f t="shared" si="0"/>
        <v>0</v>
      </c>
      <c r="I12" s="279"/>
      <c r="J12" s="128" t="s">
        <v>134</v>
      </c>
      <c r="K12" s="270" t="e">
        <f>(K10/K9)*1000000</f>
        <v>#DIV/0!</v>
      </c>
      <c r="L12" s="270"/>
    </row>
    <row r="13" spans="2:12" x14ac:dyDescent="0.25">
      <c r="B13" s="140"/>
      <c r="C13" s="124"/>
      <c r="D13" s="69"/>
      <c r="E13" s="69"/>
      <c r="F13" s="69"/>
      <c r="G13" s="69"/>
      <c r="H13" s="125">
        <f t="shared" si="0"/>
        <v>0</v>
      </c>
      <c r="I13" s="279"/>
    </row>
    <row r="14" spans="2:12" x14ac:dyDescent="0.25">
      <c r="B14" s="140"/>
      <c r="C14" s="124"/>
      <c r="D14" s="69"/>
      <c r="E14" s="69"/>
      <c r="F14" s="69"/>
      <c r="G14" s="69"/>
      <c r="H14" s="125">
        <f t="shared" si="0"/>
        <v>0</v>
      </c>
      <c r="I14" s="279"/>
    </row>
    <row r="15" spans="2:12" x14ac:dyDescent="0.25">
      <c r="B15" s="141"/>
      <c r="C15" s="124"/>
      <c r="D15" s="69"/>
      <c r="E15" s="69"/>
      <c r="F15" s="69"/>
      <c r="G15" s="69"/>
      <c r="H15" s="125">
        <f t="shared" si="0"/>
        <v>0</v>
      </c>
      <c r="I15" s="279"/>
    </row>
    <row r="16" spans="2:12" x14ac:dyDescent="0.25">
      <c r="B16" s="142"/>
      <c r="C16" s="130"/>
      <c r="D16" s="129"/>
      <c r="E16" s="129"/>
      <c r="F16" s="129"/>
      <c r="G16" s="129"/>
      <c r="H16" s="131">
        <f t="shared" si="0"/>
        <v>0</v>
      </c>
      <c r="I16" s="279"/>
    </row>
    <row r="17" spans="2:8" ht="18.75" x14ac:dyDescent="0.3">
      <c r="B17" s="132" t="s">
        <v>25</v>
      </c>
      <c r="C17" s="133">
        <f>SUBTOTAL(102,Tabla10[UNITS INSPECTED])</f>
        <v>0</v>
      </c>
      <c r="D17" s="132">
        <f>SUBTOTAL(109,Tabla10[RAYONES])</f>
        <v>0</v>
      </c>
      <c r="E17" s="132">
        <f>SUBTOTAL(109,Tabla10[DEFORMACION])</f>
        <v>0</v>
      </c>
      <c r="F17" s="132">
        <f>SUBTOTAL(109,Tabla10[EXCESO DE MATERIAL])</f>
        <v>0</v>
      </c>
      <c r="G17" s="132">
        <f>SUBTOTAL(109,Tabla10[FALTA MATERIAL])</f>
        <v>0</v>
      </c>
      <c r="H17" s="134">
        <f>SUBTOTAL(109,Tabla10[TOTAL DEFECTS])</f>
        <v>0</v>
      </c>
    </row>
  </sheetData>
  <mergeCells count="12">
    <mergeCell ref="J11:L11"/>
    <mergeCell ref="K12:L12"/>
    <mergeCell ref="B2:L2"/>
    <mergeCell ref="B3:L3"/>
    <mergeCell ref="B4:C5"/>
    <mergeCell ref="D4:G4"/>
    <mergeCell ref="H4:H5"/>
    <mergeCell ref="I4:I16"/>
    <mergeCell ref="J4:L5"/>
    <mergeCell ref="K6:L6"/>
    <mergeCell ref="K7:L7"/>
    <mergeCell ref="J8:L8"/>
  </mergeCells>
  <phoneticPr fontId="8" type="noConversion"/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15B6C-DE4F-4E9C-B47A-DED49FF06667}">
  <dimension ref="B1:E8"/>
  <sheetViews>
    <sheetView showGridLines="0" workbookViewId="0">
      <selection activeCell="E12" sqref="E12"/>
    </sheetView>
  </sheetViews>
  <sheetFormatPr baseColWidth="10" defaultRowHeight="15" x14ac:dyDescent="0.25"/>
  <cols>
    <col min="1" max="1" width="2.85546875" customWidth="1"/>
    <col min="3" max="3" width="20.5703125" customWidth="1"/>
    <col min="5" max="5" width="23.28515625" customWidth="1"/>
  </cols>
  <sheetData>
    <row r="1" spans="2:5" ht="9.75" customHeight="1" x14ac:dyDescent="0.25"/>
    <row r="2" spans="2:5" ht="18.75" x14ac:dyDescent="0.3">
      <c r="B2" s="280" t="s">
        <v>142</v>
      </c>
      <c r="C2" s="280"/>
      <c r="D2" s="280"/>
      <c r="E2" s="280"/>
    </row>
    <row r="3" spans="2:5" x14ac:dyDescent="0.25">
      <c r="B3" s="79" t="s">
        <v>34</v>
      </c>
      <c r="C3" s="229" t="s">
        <v>143</v>
      </c>
      <c r="D3" s="229"/>
      <c r="E3" s="89" t="s">
        <v>144</v>
      </c>
    </row>
    <row r="4" spans="2:5" x14ac:dyDescent="0.25">
      <c r="B4" s="244"/>
      <c r="C4" s="90"/>
      <c r="D4" s="90"/>
      <c r="E4" s="90"/>
    </row>
    <row r="5" spans="2:5" x14ac:dyDescent="0.25">
      <c r="B5" s="244"/>
      <c r="C5" s="90"/>
      <c r="D5" s="90"/>
      <c r="E5" s="66"/>
    </row>
    <row r="6" spans="2:5" ht="18.75" x14ac:dyDescent="0.3">
      <c r="B6" s="244"/>
      <c r="C6" s="90"/>
      <c r="D6" s="90"/>
      <c r="E6" s="135" t="s">
        <v>145</v>
      </c>
    </row>
    <row r="7" spans="2:5" ht="18.75" x14ac:dyDescent="0.3">
      <c r="B7" s="244"/>
      <c r="C7" s="90"/>
      <c r="D7" s="90"/>
      <c r="E7" s="136" t="e">
        <f>D8/E4</f>
        <v>#DIV/0!</v>
      </c>
    </row>
    <row r="8" spans="2:5" x14ac:dyDescent="0.25">
      <c r="B8" s="244"/>
      <c r="C8" s="90" t="s">
        <v>25</v>
      </c>
      <c r="D8" s="90">
        <f>SUM(D4:D7)</f>
        <v>0</v>
      </c>
    </row>
  </sheetData>
  <mergeCells count="3">
    <mergeCell ref="B2:E2"/>
    <mergeCell ref="C3:D3"/>
    <mergeCell ref="B4:B8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50CF-19E8-4308-86AA-5E88AFBCECA7}">
  <dimension ref="B1:K39"/>
  <sheetViews>
    <sheetView showGridLines="0" workbookViewId="0">
      <selection activeCell="L20" sqref="L20"/>
    </sheetView>
  </sheetViews>
  <sheetFormatPr baseColWidth="10" defaultRowHeight="15" x14ac:dyDescent="0.25"/>
  <cols>
    <col min="1" max="1" width="2.42578125" customWidth="1"/>
    <col min="7" max="7" width="2.28515625" customWidth="1"/>
    <col min="8" max="8" width="13.85546875" customWidth="1"/>
  </cols>
  <sheetData>
    <row r="1" spans="2:11" ht="12" customHeight="1" x14ac:dyDescent="0.25"/>
    <row r="2" spans="2:11" ht="18.75" x14ac:dyDescent="0.25">
      <c r="B2" s="294" t="s">
        <v>146</v>
      </c>
      <c r="C2" s="294"/>
      <c r="D2" s="294"/>
      <c r="E2" s="294"/>
      <c r="F2" s="294"/>
      <c r="G2" s="294"/>
      <c r="H2" s="294"/>
      <c r="I2" s="294"/>
      <c r="J2" s="294"/>
      <c r="K2" s="294"/>
    </row>
    <row r="3" spans="2:11" ht="8.25" customHeight="1" x14ac:dyDescent="0.25">
      <c r="B3" s="281"/>
      <c r="C3" s="281"/>
      <c r="D3" s="281"/>
      <c r="E3" s="281"/>
      <c r="F3" s="281"/>
      <c r="G3" s="281"/>
      <c r="H3" s="281"/>
      <c r="I3" s="281"/>
      <c r="J3" s="281"/>
      <c r="K3" s="281"/>
    </row>
    <row r="4" spans="2:11" ht="15.75" customHeight="1" x14ac:dyDescent="0.25">
      <c r="B4" s="225" t="s">
        <v>147</v>
      </c>
      <c r="C4" s="225"/>
      <c r="D4" s="225"/>
      <c r="E4" s="225"/>
      <c r="F4" s="225"/>
      <c r="G4" s="225" t="s">
        <v>148</v>
      </c>
      <c r="H4" s="225"/>
      <c r="I4" s="225"/>
      <c r="J4" s="225"/>
      <c r="K4" s="225"/>
    </row>
    <row r="5" spans="2:11" x14ac:dyDescent="0.25">
      <c r="B5" s="306"/>
      <c r="C5" s="306"/>
      <c r="D5" s="306"/>
      <c r="E5" s="306"/>
      <c r="F5" s="306"/>
      <c r="G5" s="306"/>
      <c r="H5" s="306"/>
      <c r="I5" s="306"/>
      <c r="J5" s="306"/>
      <c r="K5" s="306"/>
    </row>
    <row r="6" spans="2:11" x14ac:dyDescent="0.25">
      <c r="B6" s="306"/>
      <c r="C6" s="306"/>
      <c r="D6" s="306"/>
      <c r="E6" s="306"/>
      <c r="F6" s="306"/>
      <c r="G6" s="306"/>
      <c r="H6" s="306"/>
      <c r="I6" s="306"/>
      <c r="J6" s="306"/>
      <c r="K6" s="306"/>
    </row>
    <row r="7" spans="2:11" x14ac:dyDescent="0.25">
      <c r="B7" s="306"/>
      <c r="C7" s="306"/>
      <c r="D7" s="306"/>
      <c r="E7" s="306"/>
      <c r="F7" s="306"/>
      <c r="G7" s="306"/>
      <c r="H7" s="306"/>
      <c r="I7" s="306"/>
      <c r="J7" s="306"/>
      <c r="K7" s="306"/>
    </row>
    <row r="8" spans="2:11" x14ac:dyDescent="0.25">
      <c r="B8" s="306"/>
      <c r="C8" s="306"/>
      <c r="D8" s="306"/>
      <c r="E8" s="306"/>
      <c r="F8" s="306"/>
      <c r="G8" s="306"/>
      <c r="H8" s="306"/>
      <c r="I8" s="306"/>
      <c r="J8" s="306"/>
      <c r="K8" s="306"/>
    </row>
    <row r="9" spans="2:11" x14ac:dyDescent="0.25">
      <c r="B9" s="306"/>
      <c r="C9" s="306"/>
      <c r="D9" s="306"/>
      <c r="E9" s="306"/>
      <c r="F9" s="306"/>
      <c r="G9" s="306"/>
      <c r="H9" s="306"/>
      <c r="I9" s="306"/>
      <c r="J9" s="306"/>
      <c r="K9" s="306"/>
    </row>
    <row r="10" spans="2:11" x14ac:dyDescent="0.25">
      <c r="B10" s="306"/>
      <c r="C10" s="306"/>
      <c r="D10" s="306"/>
      <c r="E10" s="306"/>
      <c r="F10" s="306"/>
      <c r="G10" s="306"/>
      <c r="H10" s="306"/>
      <c r="I10" s="306"/>
      <c r="J10" s="306"/>
      <c r="K10" s="306"/>
    </row>
    <row r="11" spans="2:11" x14ac:dyDescent="0.25">
      <c r="B11" s="306"/>
      <c r="C11" s="306"/>
      <c r="D11" s="306"/>
      <c r="E11" s="306"/>
      <c r="F11" s="306"/>
      <c r="G11" s="306"/>
      <c r="H11" s="306"/>
      <c r="I11" s="306"/>
      <c r="J11" s="306"/>
      <c r="K11" s="306"/>
    </row>
    <row r="12" spans="2:11" ht="13.5" customHeight="1" x14ac:dyDescent="0.25">
      <c r="B12" s="306"/>
      <c r="C12" s="306"/>
      <c r="D12" s="306"/>
      <c r="E12" s="306"/>
      <c r="F12" s="306"/>
      <c r="G12" s="306"/>
      <c r="H12" s="306"/>
      <c r="I12" s="306"/>
      <c r="J12" s="306"/>
      <c r="K12" s="306"/>
    </row>
    <row r="13" spans="2:11" ht="9.75" customHeight="1" x14ac:dyDescent="0.25">
      <c r="B13" s="306"/>
      <c r="C13" s="306"/>
      <c r="D13" s="306"/>
      <c r="E13" s="306"/>
      <c r="F13" s="306"/>
      <c r="G13" s="306"/>
      <c r="H13" s="306"/>
      <c r="I13" s="306"/>
      <c r="J13" s="306"/>
      <c r="K13" s="306"/>
    </row>
    <row r="14" spans="2:11" x14ac:dyDescent="0.25">
      <c r="B14" s="306"/>
      <c r="C14" s="306"/>
      <c r="D14" s="306"/>
      <c r="E14" s="306"/>
      <c r="F14" s="306"/>
      <c r="G14" s="306"/>
      <c r="H14" s="306"/>
      <c r="I14" s="306"/>
      <c r="J14" s="306"/>
      <c r="K14" s="306"/>
    </row>
    <row r="15" spans="2:11" x14ac:dyDescent="0.25">
      <c r="B15" s="306"/>
      <c r="C15" s="306"/>
      <c r="D15" s="306"/>
      <c r="E15" s="306"/>
      <c r="F15" s="306"/>
      <c r="G15" s="306"/>
      <c r="H15" s="306"/>
      <c r="I15" s="306"/>
      <c r="J15" s="306"/>
      <c r="K15" s="306"/>
    </row>
    <row r="16" spans="2:11" x14ac:dyDescent="0.25">
      <c r="B16" s="306"/>
      <c r="C16" s="306"/>
      <c r="D16" s="306"/>
      <c r="E16" s="306"/>
      <c r="F16" s="306"/>
      <c r="G16" s="306"/>
      <c r="H16" s="306"/>
      <c r="I16" s="306"/>
      <c r="J16" s="306"/>
      <c r="K16" s="306"/>
    </row>
    <row r="17" spans="2:11" x14ac:dyDescent="0.25">
      <c r="B17" s="306"/>
      <c r="C17" s="306"/>
      <c r="D17" s="306"/>
      <c r="E17" s="306"/>
      <c r="F17" s="306"/>
      <c r="G17" s="306"/>
      <c r="H17" s="306"/>
      <c r="I17" s="306"/>
      <c r="J17" s="306"/>
      <c r="K17" s="306"/>
    </row>
    <row r="18" spans="2:11" x14ac:dyDescent="0.25">
      <c r="B18" s="306"/>
      <c r="C18" s="306"/>
      <c r="D18" s="306"/>
      <c r="E18" s="306"/>
      <c r="F18" s="306"/>
      <c r="G18" s="306"/>
      <c r="H18" s="306"/>
      <c r="I18" s="306"/>
      <c r="J18" s="306"/>
      <c r="K18" s="306"/>
    </row>
    <row r="19" spans="2:11" ht="11.25" customHeight="1" x14ac:dyDescent="0.25">
      <c r="B19" s="306"/>
      <c r="C19" s="306"/>
      <c r="D19" s="306"/>
      <c r="E19" s="306"/>
      <c r="F19" s="306"/>
      <c r="G19" s="306"/>
      <c r="H19" s="306"/>
      <c r="I19" s="306"/>
      <c r="J19" s="306"/>
      <c r="K19" s="306"/>
    </row>
    <row r="20" spans="2:11" ht="26.25" customHeight="1" x14ac:dyDescent="0.25">
      <c r="B20" s="282" t="s">
        <v>149</v>
      </c>
      <c r="C20" s="283"/>
      <c r="D20" s="283"/>
      <c r="E20" s="283"/>
      <c r="F20" s="284"/>
      <c r="G20" s="285" t="s">
        <v>150</v>
      </c>
      <c r="H20" s="286"/>
      <c r="I20" s="286"/>
      <c r="J20" s="286"/>
      <c r="K20" s="287"/>
    </row>
    <row r="21" spans="2:11" x14ac:dyDescent="0.25">
      <c r="B21" s="288"/>
      <c r="C21" s="289"/>
      <c r="D21" s="289"/>
      <c r="E21" s="289"/>
      <c r="F21" s="289"/>
      <c r="G21" s="288"/>
      <c r="H21" s="289"/>
      <c r="I21" s="289"/>
      <c r="J21" s="289"/>
      <c r="K21" s="295"/>
    </row>
    <row r="22" spans="2:11" x14ac:dyDescent="0.25">
      <c r="B22" s="290"/>
      <c r="C22" s="291"/>
      <c r="D22" s="291"/>
      <c r="E22" s="291"/>
      <c r="F22" s="291"/>
      <c r="G22" s="290"/>
      <c r="H22" s="291"/>
      <c r="I22" s="291"/>
      <c r="J22" s="291"/>
      <c r="K22" s="296"/>
    </row>
    <row r="23" spans="2:11" x14ac:dyDescent="0.25">
      <c r="B23" s="290"/>
      <c r="C23" s="291"/>
      <c r="D23" s="291"/>
      <c r="E23" s="291"/>
      <c r="F23" s="291"/>
      <c r="G23" s="290"/>
      <c r="H23" s="291"/>
      <c r="I23" s="291"/>
      <c r="J23" s="291"/>
      <c r="K23" s="296"/>
    </row>
    <row r="24" spans="2:11" x14ac:dyDescent="0.25">
      <c r="B24" s="290"/>
      <c r="C24" s="291"/>
      <c r="D24" s="291"/>
      <c r="E24" s="291"/>
      <c r="F24" s="291"/>
      <c r="G24" s="290"/>
      <c r="H24" s="291"/>
      <c r="I24" s="291"/>
      <c r="J24" s="291"/>
      <c r="K24" s="296"/>
    </row>
    <row r="25" spans="2:11" x14ac:dyDescent="0.25">
      <c r="B25" s="290"/>
      <c r="C25" s="291"/>
      <c r="D25" s="291"/>
      <c r="E25" s="291"/>
      <c r="F25" s="291"/>
      <c r="G25" s="290"/>
      <c r="H25" s="291"/>
      <c r="I25" s="291"/>
      <c r="J25" s="291"/>
      <c r="K25" s="296"/>
    </row>
    <row r="26" spans="2:11" x14ac:dyDescent="0.25">
      <c r="B26" s="290"/>
      <c r="C26" s="291"/>
      <c r="D26" s="291"/>
      <c r="E26" s="291"/>
      <c r="F26" s="291"/>
      <c r="G26" s="290"/>
      <c r="H26" s="291"/>
      <c r="I26" s="291"/>
      <c r="J26" s="291"/>
      <c r="K26" s="296"/>
    </row>
    <row r="27" spans="2:11" x14ac:dyDescent="0.25">
      <c r="B27" s="290"/>
      <c r="C27" s="291"/>
      <c r="D27" s="291"/>
      <c r="E27" s="291"/>
      <c r="F27" s="291"/>
      <c r="G27" s="290"/>
      <c r="H27" s="291"/>
      <c r="I27" s="291"/>
      <c r="J27" s="291"/>
      <c r="K27" s="296"/>
    </row>
    <row r="28" spans="2:11" x14ac:dyDescent="0.25">
      <c r="B28" s="290"/>
      <c r="C28" s="291"/>
      <c r="D28" s="291"/>
      <c r="E28" s="291"/>
      <c r="F28" s="291"/>
      <c r="G28" s="290"/>
      <c r="H28" s="291"/>
      <c r="I28" s="291"/>
      <c r="J28" s="291"/>
      <c r="K28" s="296"/>
    </row>
    <row r="29" spans="2:11" x14ac:dyDescent="0.25">
      <c r="B29" s="290"/>
      <c r="C29" s="291"/>
      <c r="D29" s="291"/>
      <c r="E29" s="291"/>
      <c r="F29" s="291"/>
      <c r="G29" s="290"/>
      <c r="H29" s="291"/>
      <c r="I29" s="291"/>
      <c r="J29" s="291"/>
      <c r="K29" s="296"/>
    </row>
    <row r="30" spans="2:11" x14ac:dyDescent="0.25">
      <c r="B30" s="290"/>
      <c r="C30" s="291"/>
      <c r="D30" s="291"/>
      <c r="E30" s="291"/>
      <c r="F30" s="291"/>
      <c r="G30" s="290"/>
      <c r="H30" s="291"/>
      <c r="I30" s="291"/>
      <c r="J30" s="291"/>
      <c r="K30" s="296"/>
    </row>
    <row r="31" spans="2:11" x14ac:dyDescent="0.25">
      <c r="B31" s="290"/>
      <c r="C31" s="291"/>
      <c r="D31" s="291"/>
      <c r="E31" s="291"/>
      <c r="F31" s="291"/>
      <c r="G31" s="290"/>
      <c r="H31" s="291"/>
      <c r="I31" s="291"/>
      <c r="J31" s="291"/>
      <c r="K31" s="296"/>
    </row>
    <row r="32" spans="2:11" x14ac:dyDescent="0.25">
      <c r="B32" s="290"/>
      <c r="C32" s="291"/>
      <c r="D32" s="291"/>
      <c r="E32" s="291"/>
      <c r="F32" s="291"/>
      <c r="G32" s="290"/>
      <c r="H32" s="291"/>
      <c r="I32" s="291"/>
      <c r="J32" s="291"/>
      <c r="K32" s="296"/>
    </row>
    <row r="33" spans="2:11" x14ac:dyDescent="0.25">
      <c r="B33" s="290"/>
      <c r="C33" s="291"/>
      <c r="D33" s="291"/>
      <c r="E33" s="291"/>
      <c r="F33" s="291"/>
      <c r="G33" s="290"/>
      <c r="H33" s="291"/>
      <c r="I33" s="291"/>
      <c r="J33" s="291"/>
      <c r="K33" s="296"/>
    </row>
    <row r="34" spans="2:11" x14ac:dyDescent="0.25">
      <c r="B34" s="292"/>
      <c r="C34" s="293"/>
      <c r="D34" s="293"/>
      <c r="E34" s="293"/>
      <c r="F34" s="293"/>
      <c r="G34" s="290"/>
      <c r="H34" s="291"/>
      <c r="I34" s="291"/>
      <c r="J34" s="291"/>
      <c r="K34" s="296"/>
    </row>
    <row r="35" spans="2:11" x14ac:dyDescent="0.25">
      <c r="B35" s="223" t="s">
        <v>151</v>
      </c>
      <c r="C35" s="277"/>
      <c r="D35" s="277"/>
      <c r="E35" s="277"/>
      <c r="F35" s="224"/>
      <c r="G35" s="290"/>
      <c r="H35" s="291"/>
      <c r="I35" s="291"/>
      <c r="J35" s="291"/>
      <c r="K35" s="296"/>
    </row>
    <row r="36" spans="2:11" x14ac:dyDescent="0.25">
      <c r="B36" s="298"/>
      <c r="C36" s="278"/>
      <c r="D36" s="278"/>
      <c r="E36" s="278"/>
      <c r="F36" s="299"/>
      <c r="G36" s="290"/>
      <c r="H36" s="291"/>
      <c r="I36" s="291"/>
      <c r="J36" s="291"/>
      <c r="K36" s="296"/>
    </row>
    <row r="37" spans="2:11" x14ac:dyDescent="0.25">
      <c r="B37" s="300"/>
      <c r="C37" s="301"/>
      <c r="D37" s="301"/>
      <c r="E37" s="301"/>
      <c r="F37" s="302"/>
      <c r="G37" s="290"/>
      <c r="H37" s="291"/>
      <c r="I37" s="291"/>
      <c r="J37" s="291"/>
      <c r="K37" s="296"/>
    </row>
    <row r="38" spans="2:11" x14ac:dyDescent="0.25">
      <c r="B38" s="300"/>
      <c r="C38" s="301"/>
      <c r="D38" s="301"/>
      <c r="E38" s="301"/>
      <c r="F38" s="302"/>
      <c r="G38" s="290"/>
      <c r="H38" s="291"/>
      <c r="I38" s="291"/>
      <c r="J38" s="291"/>
      <c r="K38" s="296"/>
    </row>
    <row r="39" spans="2:11" x14ac:dyDescent="0.25">
      <c r="B39" s="303"/>
      <c r="C39" s="304"/>
      <c r="D39" s="304"/>
      <c r="E39" s="304"/>
      <c r="F39" s="305"/>
      <c r="G39" s="292"/>
      <c r="H39" s="293"/>
      <c r="I39" s="293"/>
      <c r="J39" s="293"/>
      <c r="K39" s="297"/>
    </row>
  </sheetData>
  <mergeCells count="12">
    <mergeCell ref="B3:K3"/>
    <mergeCell ref="B20:F20"/>
    <mergeCell ref="G20:K20"/>
    <mergeCell ref="B21:F34"/>
    <mergeCell ref="B2:K2"/>
    <mergeCell ref="G21:K39"/>
    <mergeCell ref="B35:F35"/>
    <mergeCell ref="B36:F39"/>
    <mergeCell ref="B4:F4"/>
    <mergeCell ref="G4:K4"/>
    <mergeCell ref="B5:F19"/>
    <mergeCell ref="G5:K19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Swin Line</vt:lpstr>
      <vt:lpstr>Process Mapping Detailed</vt:lpstr>
      <vt:lpstr>Metricos de desempeño</vt:lpstr>
      <vt:lpstr>Plan de muestreo cualitativo</vt:lpstr>
      <vt:lpstr>Tamaño de muestra cualitativos</vt:lpstr>
      <vt:lpstr>Plan de muestreo cuantitativo</vt:lpstr>
      <vt:lpstr>Tamaño de muestra cuantitativo</vt:lpstr>
      <vt:lpstr>Hojas de verificacion</vt:lpstr>
      <vt:lpstr>Plan de recoleccion</vt:lpstr>
      <vt:lpstr>YIELD</vt:lpstr>
      <vt:lpstr>RTY-FPY</vt:lpstr>
      <vt:lpstr>Grafico Serie de tiempo</vt:lpstr>
      <vt:lpstr>%VALOR ADD</vt:lpstr>
      <vt:lpstr>PPM</vt:lpstr>
      <vt:lpstr>DPMO</vt:lpstr>
      <vt:lpstr>DPU</vt:lpstr>
      <vt:lpstr>A3 Medir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Sanchez Armenta</dc:creator>
  <cp:lastModifiedBy>Alejandro Sanchez Armenta</cp:lastModifiedBy>
  <dcterms:created xsi:type="dcterms:W3CDTF">2021-08-16T19:11:57Z</dcterms:created>
  <dcterms:modified xsi:type="dcterms:W3CDTF">2022-01-04T19:38:29Z</dcterms:modified>
</cp:coreProperties>
</file>