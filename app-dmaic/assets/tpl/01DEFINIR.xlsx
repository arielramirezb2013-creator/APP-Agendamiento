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 Flores\Desktop\PROYECTO DIGITAL\MANUAL SIX SIGMA\"/>
    </mc:Choice>
  </mc:AlternateContent>
  <xr:revisionPtr revIDLastSave="0" documentId="13_ncr:1_{1AFA5020-E280-4A87-A841-F27887D2BB0A}" xr6:coauthVersionLast="47" xr6:coauthVersionMax="47" xr10:uidLastSave="{00000000-0000-0000-0000-000000000000}"/>
  <bookViews>
    <workbookView xWindow="-120" yWindow="-120" windowWidth="20730" windowHeight="11160" xr2:uid="{CBCDCCA5-FAA8-4607-AA02-E00F231D1391}"/>
  </bookViews>
  <sheets>
    <sheet name="Matriz Priorizacion Proyectos" sheetId="1" r:id="rId1"/>
    <sheet name="Clarificacion Problema" sheetId="4" r:id="rId2"/>
    <sheet name="Árbol CTQ (Critico Para Calida" sheetId="14" r:id="rId3"/>
    <sheet name="Series de tiempo" sheetId="6" r:id="rId4"/>
    <sheet name="Pareto" sheetId="7" r:id="rId5"/>
    <sheet name="Objetivo SMART" sheetId="8" r:id="rId6"/>
    <sheet name="SIPOC" sheetId="15" r:id="rId7"/>
    <sheet name="Beneficios" sheetId="12" r:id="rId8"/>
    <sheet name="Tabla identificacion proyect" sheetId="16" r:id="rId9"/>
    <sheet name="Project Members" sheetId="2" r:id="rId10"/>
    <sheet name="Gantt" sheetId="19" r:id="rId11"/>
    <sheet name="Plan de comunicacion" sheetId="17" r:id="rId12"/>
    <sheet name="Recursos" sheetId="18" r:id="rId13"/>
    <sheet name="Project Charter" sheetId="9" r:id="rId14"/>
    <sheet name="A3 Definir" sheetId="10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RR1">[1]Summary!$C$21:$C$40</definedName>
    <definedName name="_RR2">[1]Summary!$K$21:$K$40</definedName>
    <definedName name="A">#REF!</definedName>
    <definedName name="Access_Button" hidden="1">"WPOAUDIT_Sheet1_List"</definedName>
    <definedName name="AccessDatabase" hidden="1">"G:\FIN&amp;PROD\REPORTS\WPOAUDIT.mdb"</definedName>
    <definedName name="App1T1Kend">[2]KendallBTS!$C$106:$G$110</definedName>
    <definedName name="App1T2Kend">[2]KendallBTS!$C$121:$G$125</definedName>
    <definedName name="App1T3Kend">[2]KendallBTS!$C$136:$G$140</definedName>
    <definedName name="App1T4Kend">[2]KendallBTS!$C$151:$G$155</definedName>
    <definedName name="App1T5Kend">[2]KendallBTS!$C$166:$G$170</definedName>
    <definedName name="App2T1Kend">[2]KendallBTS!$H$106:$L$110</definedName>
    <definedName name="App2T2Kend">[2]KendallBTS!$H$121:$L$125</definedName>
    <definedName name="App2T3Kend">[2]KendallBTS!$H$136:$L$140</definedName>
    <definedName name="App2T4Kend">[2]KendallBTS!$H$151:$L$155</definedName>
    <definedName name="App2T5Kend">[2]KendallBTS!$H$166:$L$170</definedName>
    <definedName name="App3T1Kend">[2]KendallBTS!$M$106:$Q$110</definedName>
    <definedName name="App3T2Kend">[2]KendallBTS!$M$121:$Q$125</definedName>
    <definedName name="App3T3Kend">[2]KendallBTS!$M$136:$Q$140</definedName>
    <definedName name="App3T4Kend">[2]KendallBTS!$M$151:$Q$155</definedName>
    <definedName name="App3T5Kend">[2]KendallBTS!$M$166:$Q$170</definedName>
    <definedName name="App4T1Kend">[2]KendallBTS!$R$106:$V$110</definedName>
    <definedName name="App4T2Kend">[2]KendallBTS!$R$121:$V$125</definedName>
    <definedName name="App4T3Kend">[2]KendallBTS!$R$136:$V$140</definedName>
    <definedName name="App4T4Kend">[2]KendallBTS!$R$151:$V$155</definedName>
    <definedName name="App4T5Kend">[2]KendallBTS!$R$166:$V$170</definedName>
    <definedName name="App5T1Kend">[2]KendallBTS!$W$106:$AA$110</definedName>
    <definedName name="App5T2Kend">[2]KendallBTS!$W$121:$AA$125</definedName>
    <definedName name="App5T3Kend">[2]KendallBTS!$W$136:$AA$140</definedName>
    <definedName name="App5T4Kend">[2]KendallBTS!$W$151:$AA$155</definedName>
    <definedName name="App5T5Kend">[2]KendallBTS!$W$166:$AA$170</definedName>
    <definedName name="_xlnm.Print_Area" localSheetId="2">'Árbol CTQ (Critico Para Calida'!$B$2:$D$27</definedName>
    <definedName name="_xlnm.Print_Area" localSheetId="4" xml:space="preserve"> Pareto!$B$3:$I$29</definedName>
    <definedName name="_xlnm.Print_Area" localSheetId="13">'Project Charter'!$B$2:$S$73</definedName>
    <definedName name="BASEAPPS">'[3] APPLICATIONS'!$A$2:$A$15</definedName>
    <definedName name="cdfButton_Click">#N/A</definedName>
    <definedName name="CENTER" localSheetId="14">#REF!</definedName>
    <definedName name="CENTER" localSheetId="7">#REF!</definedName>
    <definedName name="CENTER" localSheetId="1">#REF!</definedName>
    <definedName name="CENTER" localSheetId="5">#REF!</definedName>
    <definedName name="CENTER" localSheetId="4">#REF!</definedName>
    <definedName name="CENTER" localSheetId="13">#REF!</definedName>
    <definedName name="CENTER" localSheetId="3">#REF!</definedName>
    <definedName name="CENTER" localSheetId="6">#REF!</definedName>
    <definedName name="CENTER">#REF!</definedName>
    <definedName name="Clf" localSheetId="14">#REF!</definedName>
    <definedName name="Clf" localSheetId="7">#REF!</definedName>
    <definedName name="Clf" localSheetId="1">#REF!</definedName>
    <definedName name="Clf" localSheetId="5">#REF!</definedName>
    <definedName name="Clf" localSheetId="4">#REF!</definedName>
    <definedName name="Clf" localSheetId="13">#REF!</definedName>
    <definedName name="Clf" localSheetId="3">#REF!</definedName>
    <definedName name="Clf" localSheetId="6">#REF!</definedName>
    <definedName name="Clf">#REF!</definedName>
    <definedName name="Clr" localSheetId="14">#REF!</definedName>
    <definedName name="Clr" localSheetId="7">#REF!</definedName>
    <definedName name="Clr" localSheetId="1">#REF!</definedName>
    <definedName name="Clr" localSheetId="5">#REF!</definedName>
    <definedName name="Clr" localSheetId="4">#REF!</definedName>
    <definedName name="Clr" localSheetId="13">#REF!</definedName>
    <definedName name="Clr" localSheetId="3">#REF!</definedName>
    <definedName name="Clr" localSheetId="6">#REF!</definedName>
    <definedName name="Clr">#REF!</definedName>
    <definedName name="ColAnchor" localSheetId="14">#REF!</definedName>
    <definedName name="ColAnchor" localSheetId="7">#REF!</definedName>
    <definedName name="ColAnchor" localSheetId="1">#REF!</definedName>
    <definedName name="ColAnchor" localSheetId="5">#REF!</definedName>
    <definedName name="ColAnchor" localSheetId="4">#REF!</definedName>
    <definedName name="ColAnchor" localSheetId="13">#REF!</definedName>
    <definedName name="ColAnchor" localSheetId="3">#REF!</definedName>
    <definedName name="ColAnchor" localSheetId="6">#REF!</definedName>
    <definedName name="ColAnchor">#REF!</definedName>
    <definedName name="Constant" localSheetId="14">#REF!</definedName>
    <definedName name="Constant" localSheetId="7">#REF!</definedName>
    <definedName name="Constant" localSheetId="1">#REF!</definedName>
    <definedName name="Constant" localSheetId="5">#REF!</definedName>
    <definedName name="Constant" localSheetId="4">#REF!</definedName>
    <definedName name="Constant" localSheetId="13">#REF!</definedName>
    <definedName name="Constant" localSheetId="3">#REF!</definedName>
    <definedName name="Constant" localSheetId="6">#REF!</definedName>
    <definedName name="Constant">#REF!</definedName>
    <definedName name="cpk_Area_Style_Click">#N/A</definedName>
    <definedName name="cpk_Change_LSL_Click">#N/A</definedName>
    <definedName name="cpk_Change_USL_Click">#N/A</definedName>
    <definedName name="cpk_Line_Style_Click">#N/A</definedName>
    <definedName name="cpk_No_LSL_Click">#N/A</definedName>
    <definedName name="cpk_No_USL_Click">#N/A</definedName>
    <definedName name="cpk_Res_Spinner_Click">#N/A</definedName>
    <definedName name="cpkButton_Click">#N/A</definedName>
    <definedName name="Customer" localSheetId="14">#REF!</definedName>
    <definedName name="Customer" localSheetId="7">#REF!</definedName>
    <definedName name="Customer" localSheetId="1">#REF!</definedName>
    <definedName name="Customer" localSheetId="5">#REF!</definedName>
    <definedName name="Customer" localSheetId="4">#REF!</definedName>
    <definedName name="Customer" localSheetId="13">#REF!</definedName>
    <definedName name="Customer" localSheetId="3">#REF!</definedName>
    <definedName name="Customer" localSheetId="6">#REF!</definedName>
    <definedName name="Customer">#REF!</definedName>
    <definedName name="Cwf" localSheetId="14">#REF!</definedName>
    <definedName name="Cwf" localSheetId="7">#REF!</definedName>
    <definedName name="Cwf" localSheetId="1">#REF!</definedName>
    <definedName name="Cwf" localSheetId="5">#REF!</definedName>
    <definedName name="Cwf" localSheetId="4">#REF!</definedName>
    <definedName name="Cwf" localSheetId="13">#REF!</definedName>
    <definedName name="Cwf" localSheetId="3">#REF!</definedName>
    <definedName name="Cwf" localSheetId="6">#REF!</definedName>
    <definedName name="Cwf">#REF!</definedName>
    <definedName name="Cwr" localSheetId="14">#REF!</definedName>
    <definedName name="Cwr" localSheetId="7">#REF!</definedName>
    <definedName name="Cwr" localSheetId="1">#REF!</definedName>
    <definedName name="Cwr" localSheetId="5">#REF!</definedName>
    <definedName name="Cwr" localSheetId="4">#REF!</definedName>
    <definedName name="Cwr" localSheetId="13">#REF!</definedName>
    <definedName name="Cwr" localSheetId="3">#REF!</definedName>
    <definedName name="Cwr" localSheetId="6">#REF!</definedName>
    <definedName name="Cwr">#REF!</definedName>
    <definedName name="daily_acct_summary" localSheetId="14">'[4]bench comparo'!#REF!</definedName>
    <definedName name="daily_acct_summary" localSheetId="7">'[4]bench comparo'!#REF!</definedName>
    <definedName name="daily_acct_summary" localSheetId="1">'[4]bench comparo'!#REF!</definedName>
    <definedName name="daily_acct_summary" localSheetId="5">'[4]bench comparo'!#REF!</definedName>
    <definedName name="daily_acct_summary" localSheetId="4">'[4]bench comparo'!#REF!</definedName>
    <definedName name="daily_acct_summary" localSheetId="13">'[4]bench comparo'!#REF!</definedName>
    <definedName name="daily_acct_summary" localSheetId="3">'[4]bench comparo'!#REF!</definedName>
    <definedName name="daily_acct_summary" localSheetId="6">'[4]bench comparo'!#REF!</definedName>
    <definedName name="daily_acct_summary">'[4]bench comparo'!#REF!</definedName>
    <definedName name="Diagram_Back_Click">#N/A</definedName>
    <definedName name="Diagram_Finish_Click">#N/A</definedName>
    <definedName name="Diagrams_Dialog_Constructor">#N/A</definedName>
    <definedName name="DPMO">#REF!</definedName>
    <definedName name="DT_Hrs" localSheetId="14">#REF!</definedName>
    <definedName name="DT_Hrs" localSheetId="7">#REF!</definedName>
    <definedName name="DT_Hrs" localSheetId="1">#REF!</definedName>
    <definedName name="DT_Hrs" localSheetId="5">#REF!</definedName>
    <definedName name="DT_Hrs" localSheetId="4">#REF!</definedName>
    <definedName name="DT_Hrs" localSheetId="13">#REF!</definedName>
    <definedName name="DT_Hrs" localSheetId="3">#REF!</definedName>
    <definedName name="DT_Hrs" localSheetId="6">#REF!</definedName>
    <definedName name="DT_Hrs">#REF!</definedName>
    <definedName name="DT_Rate" localSheetId="14">#REF!</definedName>
    <definedName name="DT_Rate" localSheetId="7">#REF!</definedName>
    <definedName name="DT_Rate" localSheetId="1">#REF!</definedName>
    <definedName name="DT_Rate" localSheetId="5">#REF!</definedName>
    <definedName name="DT_Rate" localSheetId="4">#REF!</definedName>
    <definedName name="DT_Rate" localSheetId="13">#REF!</definedName>
    <definedName name="DT_Rate" localSheetId="3">#REF!</definedName>
    <definedName name="DT_Rate" localSheetId="6">#REF!</definedName>
    <definedName name="DT_Rate">#REF!</definedName>
    <definedName name="FSR" localSheetId="14">#REF!</definedName>
    <definedName name="FSR" localSheetId="7">#REF!</definedName>
    <definedName name="FSR" localSheetId="1">#REF!</definedName>
    <definedName name="FSR" localSheetId="5">#REF!</definedName>
    <definedName name="FSR" localSheetId="4">#REF!</definedName>
    <definedName name="FSR" localSheetId="13">#REF!</definedName>
    <definedName name="FSR" localSheetId="3">#REF!</definedName>
    <definedName name="FSR" localSheetId="6">#REF!</definedName>
    <definedName name="FSR">#REF!</definedName>
    <definedName name="g_Cancel_Chart">#N/A</definedName>
    <definedName name="GB" localSheetId="14">#REF!</definedName>
    <definedName name="GB" localSheetId="7">#REF!</definedName>
    <definedName name="GB" localSheetId="1">#REF!</definedName>
    <definedName name="GB" localSheetId="5">#REF!</definedName>
    <definedName name="GB" localSheetId="4">#REF!</definedName>
    <definedName name="GB" localSheetId="13">#REF!</definedName>
    <definedName name="GB" localSheetId="3">#REF!</definedName>
    <definedName name="GB" localSheetId="6">#REF!</definedName>
    <definedName name="GB">#REF!</definedName>
    <definedName name="gDataRange" localSheetId="14">#REF!</definedName>
    <definedName name="gDataRange" localSheetId="7">#REF!</definedName>
    <definedName name="gDataRange" localSheetId="1">#REF!</definedName>
    <definedName name="gDataRange" localSheetId="5">#REF!</definedName>
    <definedName name="gDataRange" localSheetId="4">#REF!</definedName>
    <definedName name="gDataRange" localSheetId="13">#REF!</definedName>
    <definedName name="gDataRange" localSheetId="3">#REF!</definedName>
    <definedName name="gDataRange" localSheetId="6">#REF!</definedName>
    <definedName name="gDataRange">#REF!</definedName>
    <definedName name="HB" localSheetId="14">#REF!</definedName>
    <definedName name="HB" localSheetId="7">#REF!</definedName>
    <definedName name="HB" localSheetId="1">#REF!</definedName>
    <definedName name="HB" localSheetId="5">#REF!</definedName>
    <definedName name="HB" localSheetId="4">#REF!</definedName>
    <definedName name="HB" localSheetId="13">#REF!</definedName>
    <definedName name="HB" localSheetId="3">#REF!</definedName>
    <definedName name="HB" localSheetId="6">#REF!</definedName>
    <definedName name="HB">#REF!</definedName>
    <definedName name="Height">5</definedName>
    <definedName name="hist_Back_Click">#N/A</definedName>
    <definedName name="hist_Save_Defaults">#N/A</definedName>
    <definedName name="histButton_Click">#N/A</definedName>
    <definedName name="hoy" localSheetId="10">TODAY()</definedName>
    <definedName name="InicioDelProyecto">Gantt!$E$4</definedName>
    <definedName name="Intercept" localSheetId="1">[5]wksScatterPlot!$AE$2</definedName>
    <definedName name="Intercept" localSheetId="6">[5]wksScatterPlot!$AE$2</definedName>
    <definedName name="Intercept">[6]wksScatterPlot!$AE$2</definedName>
    <definedName name="k_3">#REF!</definedName>
    <definedName name="LCL" localSheetId="14">#REF!</definedName>
    <definedName name="LCL" localSheetId="7">#REF!</definedName>
    <definedName name="LCL" localSheetId="1">#REF!</definedName>
    <definedName name="LCL" localSheetId="5">#REF!</definedName>
    <definedName name="LCL" localSheetId="4">#REF!</definedName>
    <definedName name="LCL" localSheetId="13">#REF!</definedName>
    <definedName name="LCL" localSheetId="3">#REF!</definedName>
    <definedName name="LCL" localSheetId="6">#REF!</definedName>
    <definedName name="LCL">#REF!</definedName>
    <definedName name="LF" localSheetId="14">#REF!</definedName>
    <definedName name="LF" localSheetId="7">#REF!</definedName>
    <definedName name="LF" localSheetId="1">#REF!</definedName>
    <definedName name="LF" localSheetId="5">#REF!</definedName>
    <definedName name="LF" localSheetId="4">#REF!</definedName>
    <definedName name="LF" localSheetId="13">#REF!</definedName>
    <definedName name="LF" localSheetId="3">#REF!</definedName>
    <definedName name="LF" localSheetId="6">#REF!</definedName>
    <definedName name="LF">#REF!</definedName>
    <definedName name="LR" localSheetId="14">#REF!</definedName>
    <definedName name="LR" localSheetId="7">#REF!</definedName>
    <definedName name="LR" localSheetId="1">#REF!</definedName>
    <definedName name="LR" localSheetId="5">#REF!</definedName>
    <definedName name="LR" localSheetId="4">#REF!</definedName>
    <definedName name="LR" localSheetId="13">#REF!</definedName>
    <definedName name="LR" localSheetId="3">#REF!</definedName>
    <definedName name="LR" localSheetId="6">#REF!</definedName>
    <definedName name="LR">#REF!</definedName>
    <definedName name="LSL" localSheetId="14">#REF!</definedName>
    <definedName name="LSL" localSheetId="7">#REF!</definedName>
    <definedName name="LSL" localSheetId="1">#REF!</definedName>
    <definedName name="LSL" localSheetId="5">#REF!</definedName>
    <definedName name="LSL" localSheetId="4">#REF!</definedName>
    <definedName name="LSL" localSheetId="13">#REF!</definedName>
    <definedName name="LSL" localSheetId="3">#REF!</definedName>
    <definedName name="LSL" localSheetId="6">#REF!</definedName>
    <definedName name="LSL">#REF!</definedName>
    <definedName name="LSL_cell" localSheetId="1">[5]wksHistogram!$AF$1</definedName>
    <definedName name="LSL_cell" localSheetId="6">[5]wksHistogram!$AF$1</definedName>
    <definedName name="LSL_cell">[6]wksHistogram!$AF$1</definedName>
    <definedName name="Max_45Line" localSheetId="1">[5]wksScatterPlot!$AH$5</definedName>
    <definedName name="Max_45Line" localSheetId="6">[5]wksScatterPlot!$AH$5</definedName>
    <definedName name="Max_45Line">[6]wksScatterPlot!$AH$5</definedName>
    <definedName name="Min_45Line" localSheetId="1">[5]wksScatterPlot!$AH$4</definedName>
    <definedName name="Min_45Line" localSheetId="6">[5]wksScatterPlot!$AH$4</definedName>
    <definedName name="Min_45Line">[6]wksScatterPlot!$AH$4</definedName>
    <definedName name="myCats">OFFSET(#REF!,0,0,COUNTA(#REF!),2)</definedName>
    <definedName name="N" localSheetId="14">#REF!</definedName>
    <definedName name="N" localSheetId="7">#REF!</definedName>
    <definedName name="N" localSheetId="1">#REF!</definedName>
    <definedName name="N" localSheetId="5">#REF!</definedName>
    <definedName name="N" localSheetId="4">#REF!</definedName>
    <definedName name="N" localSheetId="13">#REF!</definedName>
    <definedName name="N" localSheetId="3">#REF!</definedName>
    <definedName name="N" localSheetId="6">#REF!</definedName>
    <definedName name="N">#REF!</definedName>
    <definedName name="num" localSheetId="14">#REF!</definedName>
    <definedName name="num" localSheetId="7">#REF!</definedName>
    <definedName name="num" localSheetId="1">#REF!</definedName>
    <definedName name="num" localSheetId="5">#REF!</definedName>
    <definedName name="num" localSheetId="4">#REF!</definedName>
    <definedName name="num" localSheetId="13">#REF!</definedName>
    <definedName name="num" localSheetId="3">#REF!</definedName>
    <definedName name="num" localSheetId="6">#REF!</definedName>
    <definedName name="num">#REF!</definedName>
    <definedName name="Num_Bins" localSheetId="1">[5]wksCapAnalysis!$AF$12</definedName>
    <definedName name="Num_Bins" localSheetId="6">[5]wksCapAnalysis!$AF$12</definedName>
    <definedName name="Num_Bins">[6]wksCapAnalysis!$AF$12</definedName>
    <definedName name="NumApps">#REF!</definedName>
    <definedName name="Number_of_Operators">#REF!</definedName>
    <definedName name="Number_of_Parts">#REF!</definedName>
    <definedName name="Number_of_Trials">#REF!</definedName>
    <definedName name="NumCats">[2]KappaBTS!$B$4</definedName>
    <definedName name="numdevs" localSheetId="14">#REF!</definedName>
    <definedName name="numdevs" localSheetId="7">#REF!</definedName>
    <definedName name="numdevs" localSheetId="1">#REF!</definedName>
    <definedName name="numdevs" localSheetId="5">#REF!</definedName>
    <definedName name="numdevs" localSheetId="4">#REF!</definedName>
    <definedName name="numdevs" localSheetId="13">#REF!</definedName>
    <definedName name="numdevs" localSheetId="3">#REF!</definedName>
    <definedName name="numdevs" localSheetId="6">#REF!</definedName>
    <definedName name="numdevs">#REF!</definedName>
    <definedName name="NumSamps">#REF!</definedName>
    <definedName name="NumTrials">[2]KappaBTS!$B$5</definedName>
    <definedName name="Occurrence" localSheetId="1">[7]Matrix!$N$5:$O$9</definedName>
    <definedName name="Occurrence" localSheetId="4">'[8]Project Plan'!$N$5:$O$9</definedName>
    <definedName name="Occurrence" localSheetId="6">[7]Matrix!$N$5:$O$9</definedName>
    <definedName name="Occurrence">'[9]Project Plan'!$N$5:$O$9</definedName>
    <definedName name="OT_Hrs" localSheetId="14">#REF!</definedName>
    <definedName name="OT_Hrs" localSheetId="7">#REF!</definedName>
    <definedName name="OT_Hrs" localSheetId="1">#REF!</definedName>
    <definedName name="OT_Hrs" localSheetId="5">#REF!</definedName>
    <definedName name="OT_Hrs" localSheetId="4">#REF!</definedName>
    <definedName name="OT_Hrs" localSheetId="13">#REF!</definedName>
    <definedName name="OT_Hrs" localSheetId="3">#REF!</definedName>
    <definedName name="OT_Hrs" localSheetId="6">#REF!</definedName>
    <definedName name="OT_Hrs">#REF!</definedName>
    <definedName name="OT_Rate" localSheetId="14">#REF!</definedName>
    <definedName name="OT_Rate" localSheetId="7">#REF!</definedName>
    <definedName name="OT_Rate" localSheetId="1">#REF!</definedName>
    <definedName name="OT_Rate" localSheetId="5">#REF!</definedName>
    <definedName name="OT_Rate" localSheetId="4">#REF!</definedName>
    <definedName name="OT_Rate" localSheetId="13">#REF!</definedName>
    <definedName name="OT_Rate" localSheetId="3">#REF!</definedName>
    <definedName name="OT_Rate" localSheetId="6">#REF!</definedName>
    <definedName name="OT_Rate">#REF!</definedName>
    <definedName name="par_2DwCum_Click">#N/A</definedName>
    <definedName name="par_2DwoCum_Click">#N/A</definedName>
    <definedName name="par_3DwoCum_Click">#N/A</definedName>
    <definedName name="par_Ascend_Click">#N/A</definedName>
    <definedName name="par_Back_Click">#N/A</definedName>
    <definedName name="par_Descend_Click">#N/A</definedName>
    <definedName name="par_First_Row_Click">#N/A</definedName>
    <definedName name="par_Save_Defaults">#N/A</definedName>
    <definedName name="parButton_Click">#N/A</definedName>
    <definedName name="parFirst" localSheetId="14">[10]Defaults!#REF!</definedName>
    <definedName name="parFirst" localSheetId="7">[10]Defaults!#REF!</definedName>
    <definedName name="parFirst" localSheetId="1">[10]Defaults!#REF!</definedName>
    <definedName name="parFirst" localSheetId="5">[10]Defaults!#REF!</definedName>
    <definedName name="parFirst" localSheetId="4">[10]Defaults!#REF!</definedName>
    <definedName name="parFirst" localSheetId="13">[10]Defaults!#REF!</definedName>
    <definedName name="parFirst" localSheetId="3">[10]Defaults!#REF!</definedName>
    <definedName name="parFirst" localSheetId="6">[10]Defaults!#REF!</definedName>
    <definedName name="parFirst">[10]Defaults!#REF!</definedName>
    <definedName name="parLegend" localSheetId="14">[10]Defaults!#REF!</definedName>
    <definedName name="parLegend" localSheetId="1">[10]Defaults!#REF!</definedName>
    <definedName name="parLegend" localSheetId="5">[10]Defaults!#REF!</definedName>
    <definedName name="parLegend" localSheetId="4">[10]Defaults!#REF!</definedName>
    <definedName name="parLegend" localSheetId="13">[10]Defaults!#REF!</definedName>
    <definedName name="parLegend" localSheetId="3">[10]Defaults!#REF!</definedName>
    <definedName name="parLegend" localSheetId="6">[10]Defaults!#REF!</definedName>
    <definedName name="parLegend">[10]Defaults!#REF!</definedName>
    <definedName name="parRows" localSheetId="1">[10]Defaults!#REF!</definedName>
    <definedName name="parRows" localSheetId="5">[10]Defaults!#REF!</definedName>
    <definedName name="parRows" localSheetId="4">[10]Defaults!#REF!</definedName>
    <definedName name="parRows" localSheetId="13">[10]Defaults!#REF!</definedName>
    <definedName name="parRows" localSheetId="3">[10]Defaults!#REF!</definedName>
    <definedName name="parRows" localSheetId="6">[10]Defaults!#REF!</definedName>
    <definedName name="parRows">[10]Defaults!#REF!</definedName>
    <definedName name="parSort" localSheetId="1">[10]Defaults!#REF!</definedName>
    <definedName name="parSort" localSheetId="5">[10]Defaults!#REF!</definedName>
    <definedName name="parSort" localSheetId="4">[10]Defaults!#REF!</definedName>
    <definedName name="parSort" localSheetId="13">[10]Defaults!#REF!</definedName>
    <definedName name="parSort" localSheetId="3">[10]Defaults!#REF!</definedName>
    <definedName name="parSort" localSheetId="6">[10]Defaults!#REF!</definedName>
    <definedName name="parSort">[10]Defaults!#REF!</definedName>
    <definedName name="Percent_R___R_1">[1]Summary!$C$21:$C$40</definedName>
    <definedName name="Percent_R___R_2">[1]Summary!#REF!</definedName>
    <definedName name="PlotRange" localSheetId="14">#REF!</definedName>
    <definedName name="PlotRange" localSheetId="7">#REF!</definedName>
    <definedName name="PlotRange" localSheetId="1">#REF!</definedName>
    <definedName name="PlotRange" localSheetId="5">#REF!</definedName>
    <definedName name="PlotRange" localSheetId="4">#REF!</definedName>
    <definedName name="PlotRange" localSheetId="13">#REF!</definedName>
    <definedName name="PlotRange" localSheetId="3">#REF!</definedName>
    <definedName name="PlotRange" localSheetId="6">#REF!</definedName>
    <definedName name="PlotRange">#REF!</definedName>
    <definedName name="PM" localSheetId="14">#REF!</definedName>
    <definedName name="PM" localSheetId="7">#REF!</definedName>
    <definedName name="PM" localSheetId="1">#REF!</definedName>
    <definedName name="PM" localSheetId="5">#REF!</definedName>
    <definedName name="PM" localSheetId="4">#REF!</definedName>
    <definedName name="PM" localSheetId="13">#REF!</definedName>
    <definedName name="PM" localSheetId="3">#REF!</definedName>
    <definedName name="PM" localSheetId="6">#REF!</definedName>
    <definedName name="PM">#REF!</definedName>
    <definedName name="qet_Bottom" localSheetId="14">#REF!</definedName>
    <definedName name="qet_Bottom" localSheetId="7">#REF!</definedName>
    <definedName name="qet_Bottom" localSheetId="1">#REF!</definedName>
    <definedName name="qet_Bottom" localSheetId="5">#REF!</definedName>
    <definedName name="qet_Bottom" localSheetId="4">#REF!</definedName>
    <definedName name="qet_Bottom" localSheetId="13">#REF!</definedName>
    <definedName name="qet_Bottom" localSheetId="3">#REF!</definedName>
    <definedName name="qet_Bottom" localSheetId="6">#REF!</definedName>
    <definedName name="qet_Bottom">#REF!</definedName>
    <definedName name="qet_capNonNorm_bins" localSheetId="1">OFFSET([5]wksCapAnalysisNonNormal!$AB$2,0,0,[5]wksCapAnalysisNonNormal!$AF$12)</definedName>
    <definedName name="qet_capNonNorm_bins" localSheetId="6">OFFSET([5]wksCapAnalysisNonNormal!$AB$2,0,0,[5]wksCapAnalysisNonNormal!$AF$12)</definedName>
    <definedName name="qet_capNonNorm_bins">OFFSET([6]wksCapAnalysisNonNormal!$AB$2,0,0,[6]wksCapAnalysisNonNormal!$AF$12)</definedName>
    <definedName name="qet_capNonNorm_freq" localSheetId="1">OFFSET([5]wksCapAnalysisNonNormal!$AC$2,0,0,[5]wksCapAnalysisNonNormal!$AF$12)</definedName>
    <definedName name="qet_capNonNorm_freq" localSheetId="6">OFFSET([5]wksCapAnalysisNonNormal!$AC$2,0,0,[5]wksCapAnalysisNonNormal!$AF$12)</definedName>
    <definedName name="qet_capNonNorm_freq">OFFSET([6]wksCapAnalysisNonNormal!$AC$2,0,0,[6]wksCapAnalysisNonNormal!$AF$12)</definedName>
    <definedName name="qet_capNorm_bins" localSheetId="1">OFFSET([5]wksCapAnalysis!$AB$2,0,0,[5]wksCapAnalysis!$AF$12)</definedName>
    <definedName name="qet_capNorm_bins" localSheetId="6">OFFSET([5]wksCapAnalysis!$AB$2,0,0,[5]wksCapAnalysis!$AF$12)</definedName>
    <definedName name="qet_capNorm_bins">OFFSET([6]wksCapAnalysis!$AB$2,0,0,[6]wksCapAnalysis!$AF$12)</definedName>
    <definedName name="qet_capNorm_freq" localSheetId="1">OFFSET([5]wksCapAnalysis!$AC$2,0,0,[5]wksCapAnalysis!$AF$12)</definedName>
    <definedName name="qet_capNorm_freq" localSheetId="6">OFFSET([5]wksCapAnalysis!$AC$2,0,0,[5]wksCapAnalysis!$AF$12)</definedName>
    <definedName name="qet_capNorm_freq">OFFSET([6]wksCapAnalysis!$AC$2,0,0,[6]wksCapAnalysis!$AF$12)</definedName>
    <definedName name="QET_FirstRow" localSheetId="14">#REF!</definedName>
    <definedName name="QET_FirstRow" localSheetId="7">#REF!</definedName>
    <definedName name="QET_FirstRow" localSheetId="1">#REF!</definedName>
    <definedName name="QET_FirstRow" localSheetId="5">#REF!</definedName>
    <definedName name="QET_FirstRow" localSheetId="4">#REF!</definedName>
    <definedName name="QET_FirstRow" localSheetId="13">#REF!</definedName>
    <definedName name="QET_FirstRow" localSheetId="3">#REF!</definedName>
    <definedName name="QET_FirstRow" localSheetId="6">#REF!</definedName>
    <definedName name="QET_FirstRow">#REF!</definedName>
    <definedName name="qet_histo_bins" localSheetId="1">OFFSET([5]wksHistogram!$AB$2,0,0,[5]wksHistogram!$AF$12,1)</definedName>
    <definedName name="qet_histo_bins" localSheetId="6">OFFSET([5]wksHistogram!$AB$2,0,0,[5]wksHistogram!$AF$12,1)</definedName>
    <definedName name="qet_histo_bins">OFFSET([6]wksHistogram!$AB$2,0,0,[6]wksHistogram!$AF$12,1)</definedName>
    <definedName name="qet_histo_freq" localSheetId="1">OFFSET([5]wksHistogram!$AC$2,0,0,[5]wksHistogram!$AF$12,1)</definedName>
    <definedName name="qet_histo_freq" localSheetId="6">OFFSET([5]wksHistogram!$AC$2,0,0,[5]wksHistogram!$AF$12,1)</definedName>
    <definedName name="qet_histo_freq">OFFSET([6]wksHistogram!$AC$2,0,0,[6]wksHistogram!$AF$12,1)</definedName>
    <definedName name="qet_histo_freq_rel" localSheetId="1">OFFSET([5]wksHistogram!$C$10,0,0,[5]wksHistogram!$AF$12,1)</definedName>
    <definedName name="qet_histo_freq_rel" localSheetId="6">OFFSET([5]wksHistogram!$C$10,0,0,[5]wksHistogram!$AF$12,1)</definedName>
    <definedName name="qet_histo_freq_rel">OFFSET([6]wksHistogram!$C$10,0,0,[6]wksHistogram!$AF$12,1)</definedName>
    <definedName name="QET_HOQ_FirstCol" localSheetId="14" hidden="1">#REF!</definedName>
    <definedName name="QET_HOQ_FirstCol" localSheetId="7" hidden="1">#REF!</definedName>
    <definedName name="QET_HOQ_FirstCol" localSheetId="1" hidden="1">#REF!</definedName>
    <definedName name="QET_HOQ_FirstCol" localSheetId="5" hidden="1">#REF!</definedName>
    <definedName name="QET_HOQ_FirstCol" localSheetId="4" hidden="1">#REF!</definedName>
    <definedName name="QET_HOQ_FirstCol" localSheetId="13" hidden="1">#REF!</definedName>
    <definedName name="QET_HOQ_FirstCol" localSheetId="3" hidden="1">#REF!</definedName>
    <definedName name="QET_HOQ_FirstCol" localSheetId="6" hidden="1">#REF!</definedName>
    <definedName name="QET_HOQ_FirstCol" hidden="1">#REF!</definedName>
    <definedName name="QET_HOQ_FirstRow" localSheetId="14" hidden="1">#REF!</definedName>
    <definedName name="QET_HOQ_FirstRow" localSheetId="7" hidden="1">#REF!</definedName>
    <definedName name="QET_HOQ_FirstRow" localSheetId="1" hidden="1">#REF!</definedName>
    <definedName name="QET_HOQ_FirstRow" localSheetId="5" hidden="1">#REF!</definedName>
    <definedName name="QET_HOQ_FirstRow" localSheetId="4" hidden="1">#REF!</definedName>
    <definedName name="QET_HOQ_FirstRow" localSheetId="13" hidden="1">#REF!</definedName>
    <definedName name="QET_HOQ_FirstRow" localSheetId="3" hidden="1">#REF!</definedName>
    <definedName name="QET_HOQ_FirstRow" localSheetId="6" hidden="1">#REF!</definedName>
    <definedName name="QET_HOQ_FirstRow" hidden="1">#REF!</definedName>
    <definedName name="QET_HOQ_LastCol" localSheetId="14" hidden="1">#REF!</definedName>
    <definedName name="QET_HOQ_LastCol" localSheetId="7" hidden="1">#REF!</definedName>
    <definedName name="QET_HOQ_LastCol" localSheetId="1" hidden="1">#REF!</definedName>
    <definedName name="QET_HOQ_LastCol" localSheetId="5" hidden="1">#REF!</definedName>
    <definedName name="QET_HOQ_LastCol" localSheetId="4" hidden="1">#REF!</definedName>
    <definedName name="QET_HOQ_LastCol" localSheetId="13" hidden="1">#REF!</definedName>
    <definedName name="QET_HOQ_LastCol" localSheetId="3" hidden="1">#REF!</definedName>
    <definedName name="QET_HOQ_LastCol" localSheetId="6" hidden="1">#REF!</definedName>
    <definedName name="QET_HOQ_LastCol" hidden="1">#REF!</definedName>
    <definedName name="QET_HOQ_LastRow" localSheetId="14" hidden="1">#REF!</definedName>
    <definedName name="QET_HOQ_LastRow" localSheetId="7" hidden="1">#REF!</definedName>
    <definedName name="QET_HOQ_LastRow" localSheetId="1" hidden="1">#REF!</definedName>
    <definedName name="QET_HOQ_LastRow" localSheetId="5" hidden="1">#REF!</definedName>
    <definedName name="QET_HOQ_LastRow" localSheetId="4" hidden="1">#REF!</definedName>
    <definedName name="QET_HOQ_LastRow" localSheetId="13" hidden="1">#REF!</definedName>
    <definedName name="QET_HOQ_LastRow" localSheetId="3" hidden="1">#REF!</definedName>
    <definedName name="QET_HOQ_LastRow" localSheetId="6" hidden="1">#REF!</definedName>
    <definedName name="QET_HOQ_LastRow" hidden="1">#REF!</definedName>
    <definedName name="QET_HOQ_RoofRow" localSheetId="14">#REF!</definedName>
    <definedName name="QET_HOQ_RoofRow" localSheetId="7">#REF!</definedName>
    <definedName name="QET_HOQ_RoofRow" localSheetId="1">#REF!</definedName>
    <definedName name="QET_HOQ_RoofRow" localSheetId="5">#REF!</definedName>
    <definedName name="QET_HOQ_RoofRow" localSheetId="4">#REF!</definedName>
    <definedName name="QET_HOQ_RoofRow" localSheetId="13">#REF!</definedName>
    <definedName name="QET_HOQ_RoofRow" localSheetId="3">#REF!</definedName>
    <definedName name="QET_HOQ_RoofRow" localSheetId="6">#REF!</definedName>
    <definedName name="QET_HOQ_RoofRow">#REF!</definedName>
    <definedName name="QET_Pugh_FirstCol" localSheetId="14" hidden="1">#REF!</definedName>
    <definedName name="QET_Pugh_FirstCol" localSheetId="7" hidden="1">#REF!</definedName>
    <definedName name="QET_Pugh_FirstCol" localSheetId="1" hidden="1">#REF!</definedName>
    <definedName name="QET_Pugh_FirstCol" localSheetId="5" hidden="1">#REF!</definedName>
    <definedName name="QET_Pugh_FirstCol" localSheetId="4" hidden="1">#REF!</definedName>
    <definedName name="QET_Pugh_FirstCol" localSheetId="13" hidden="1">#REF!</definedName>
    <definedName name="QET_Pugh_FirstCol" localSheetId="3" hidden="1">#REF!</definedName>
    <definedName name="QET_Pugh_FirstCol" localSheetId="6" hidden="1">#REF!</definedName>
    <definedName name="QET_Pugh_FirstCol" hidden="1">#REF!</definedName>
    <definedName name="QET_Pugh_FirstRow" localSheetId="14" hidden="1">#REF!</definedName>
    <definedName name="QET_Pugh_FirstRow" localSheetId="7" hidden="1">#REF!</definedName>
    <definedName name="QET_Pugh_FirstRow" localSheetId="1" hidden="1">#REF!</definedName>
    <definedName name="QET_Pugh_FirstRow" localSheetId="5" hidden="1">#REF!</definedName>
    <definedName name="QET_Pugh_FirstRow" localSheetId="4" hidden="1">#REF!</definedName>
    <definedName name="QET_Pugh_FirstRow" localSheetId="13" hidden="1">#REF!</definedName>
    <definedName name="QET_Pugh_FirstRow" localSheetId="3" hidden="1">#REF!</definedName>
    <definedName name="QET_Pugh_FirstRow" localSheetId="6" hidden="1">#REF!</definedName>
    <definedName name="QET_Pugh_FirstRow" hidden="1">#REF!</definedName>
    <definedName name="QET_Pugh_LastCol" localSheetId="14" hidden="1">#REF!</definedName>
    <definedName name="QET_Pugh_LastCol" localSheetId="7" hidden="1">#REF!</definedName>
    <definedName name="QET_Pugh_LastCol" localSheetId="1" hidden="1">#REF!</definedName>
    <definedName name="QET_Pugh_LastCol" localSheetId="5" hidden="1">#REF!</definedName>
    <definedName name="QET_Pugh_LastCol" localSheetId="4" hidden="1">#REF!</definedName>
    <definedName name="QET_Pugh_LastCol" localSheetId="13" hidden="1">#REF!</definedName>
    <definedName name="QET_Pugh_LastCol" localSheetId="3" hidden="1">#REF!</definedName>
    <definedName name="QET_Pugh_LastCol" localSheetId="6" hidden="1">#REF!</definedName>
    <definedName name="QET_Pugh_LastCol" hidden="1">#REF!</definedName>
    <definedName name="QET_Pugh_LastRow" localSheetId="14" hidden="1">#REF!</definedName>
    <definedName name="QET_Pugh_LastRow" localSheetId="7" hidden="1">#REF!</definedName>
    <definedName name="QET_Pugh_LastRow" localSheetId="1" hidden="1">#REF!</definedName>
    <definedName name="QET_Pugh_LastRow" localSheetId="5" hidden="1">#REF!</definedName>
    <definedName name="QET_Pugh_LastRow" localSheetId="4" hidden="1">#REF!</definedName>
    <definedName name="QET_Pugh_LastRow" localSheetId="13" hidden="1">#REF!</definedName>
    <definedName name="QET_Pugh_LastRow" localSheetId="3" hidden="1">#REF!</definedName>
    <definedName name="QET_Pugh_LastRow" localSheetId="6" hidden="1">#REF!</definedName>
    <definedName name="QET_Pugh_LastRow" hidden="1">#REF!</definedName>
    <definedName name="qet_Response" localSheetId="14">#REF!</definedName>
    <definedName name="qet_Response" localSheetId="7">#REF!</definedName>
    <definedName name="qet_Response" localSheetId="1">#REF!</definedName>
    <definedName name="qet_Response" localSheetId="5">#REF!</definedName>
    <definedName name="qet_Response" localSheetId="4">#REF!</definedName>
    <definedName name="qet_Response" localSheetId="13">#REF!</definedName>
    <definedName name="qet_Response" localSheetId="3">#REF!</definedName>
    <definedName name="qet_Response" localSheetId="6">#REF!</definedName>
    <definedName name="qet_Response">#REF!</definedName>
    <definedName name="qet_Sample" localSheetId="14">#REF!</definedName>
    <definedName name="qet_Sample" localSheetId="7">#REF!</definedName>
    <definedName name="qet_Sample" localSheetId="1">#REF!</definedName>
    <definedName name="qet_Sample" localSheetId="5">#REF!</definedName>
    <definedName name="qet_Sample" localSheetId="4">#REF!</definedName>
    <definedName name="qet_Sample" localSheetId="13">#REF!</definedName>
    <definedName name="qet_Sample" localSheetId="3">#REF!</definedName>
    <definedName name="qet_Sample" localSheetId="6">#REF!</definedName>
    <definedName name="qet_Sample">#REF!</definedName>
    <definedName name="QET_SC_Box1_FirstRow" hidden="1">[11]tmlWks_Scorecard!$37:$37</definedName>
    <definedName name="QET_SC_Box1_LastRow" hidden="1">[11]tmlWks_Scorecard!$38:$38</definedName>
    <definedName name="QET_SC_Box2_FirstRow" hidden="1">[11]tmlWks_Scorecard!$44:$44</definedName>
    <definedName name="QET_SC_Box2_LastRow" hidden="1">[11]tmlWks_Scorecard!$45:$45</definedName>
    <definedName name="QET_SC_Box3_FirstRow" hidden="1">[11]tmlWks_Scorecard!$51:$51</definedName>
    <definedName name="QET_SC_Box3_LastRow" hidden="1">[11]tmlWks_Scorecard!$52:$52</definedName>
    <definedName name="QET_SC_Box4_FirstRow" hidden="1">[11]tmlWks_Scorecard!$58:$58</definedName>
    <definedName name="QET_SC_Box4_LastRow" hidden="1">[11]tmlWks_Scorecard!$59:$59</definedName>
    <definedName name="QET_SC_Box5_FirstRow" hidden="1">[11]tmlWks_Scorecard!$65:$65</definedName>
    <definedName name="QET_SC_Box5_LastRow" hidden="1">[11]tmlWks_Scorecard!$66:$66</definedName>
    <definedName name="QET_SC_Box6_FirstRow" hidden="1">[11]tmlWks_Scorecard!$72:$72</definedName>
    <definedName name="QET_SC_Box6_LastRow" hidden="1">[11]tmlWks_Scorecard!$73:$73</definedName>
    <definedName name="QET_SC_Box7_FirstRow" hidden="1">[11]tmlWks_Scorecard!$79:$79</definedName>
    <definedName name="QET_SC_Box7_LastRow" hidden="1">[11]tmlWks_Scorecard!$80:$80</definedName>
    <definedName name="QET_SC_Box8_FirstRow" hidden="1">[11]tmlWks_Scorecard!$86:$86</definedName>
    <definedName name="QET_SC_Box8_LastRow" hidden="1">[11]tmlWks_Scorecard!$87:$87</definedName>
    <definedName name="QET_SC_DCol">[11]tmlWks_Scorecard!$F:$F</definedName>
    <definedName name="QET_SC_FirstCol">[11]tmlWks_Scorecard!$C:$C</definedName>
    <definedName name="QET_SC_LastCol">[11]tmlWks_Scorecard!$L:$L</definedName>
    <definedName name="QET_SCSimp_Box1_LastRow" localSheetId="14" hidden="1">#REF!</definedName>
    <definedName name="QET_SCSimp_Box1_LastRow" localSheetId="7" hidden="1">#REF!</definedName>
    <definedName name="QET_SCSimp_Box1_LastRow" localSheetId="1" hidden="1">#REF!</definedName>
    <definedName name="QET_SCSimp_Box1_LastRow" localSheetId="5" hidden="1">#REF!</definedName>
    <definedName name="QET_SCSimp_Box1_LastRow" localSheetId="4" hidden="1">#REF!</definedName>
    <definedName name="QET_SCSimp_Box1_LastRow" localSheetId="13" hidden="1">#REF!</definedName>
    <definedName name="QET_SCSimp_Box1_LastRow" localSheetId="3" hidden="1">#REF!</definedName>
    <definedName name="QET_SCSimp_Box1_LastRow" localSheetId="6" hidden="1">#REF!</definedName>
    <definedName name="QET_SCSimp_Box1_LastRow" hidden="1">#REF!</definedName>
    <definedName name="QET_SCSimp_Box2_FirstRow" localSheetId="14" hidden="1">#REF!</definedName>
    <definedName name="QET_SCSimp_Box2_FirstRow" localSheetId="7" hidden="1">#REF!</definedName>
    <definedName name="QET_SCSimp_Box2_FirstRow" localSheetId="1" hidden="1">#REF!</definedName>
    <definedName name="QET_SCSimp_Box2_FirstRow" localSheetId="5" hidden="1">#REF!</definedName>
    <definedName name="QET_SCSimp_Box2_FirstRow" localSheetId="4" hidden="1">#REF!</definedName>
    <definedName name="QET_SCSimp_Box2_FirstRow" localSheetId="13" hidden="1">#REF!</definedName>
    <definedName name="QET_SCSimp_Box2_FirstRow" localSheetId="3" hidden="1">#REF!</definedName>
    <definedName name="QET_SCSimp_Box2_FirstRow" localSheetId="6" hidden="1">#REF!</definedName>
    <definedName name="QET_SCSimp_Box2_FirstRow" hidden="1">#REF!</definedName>
    <definedName name="QET_SCSimp_Box2_LastRow" localSheetId="14" hidden="1">#REF!</definedName>
    <definedName name="QET_SCSimp_Box2_LastRow" localSheetId="7" hidden="1">#REF!</definedName>
    <definedName name="QET_SCSimp_Box2_LastRow" localSheetId="1" hidden="1">#REF!</definedName>
    <definedName name="QET_SCSimp_Box2_LastRow" localSheetId="5" hidden="1">#REF!</definedName>
    <definedName name="QET_SCSimp_Box2_LastRow" localSheetId="4" hidden="1">#REF!</definedName>
    <definedName name="QET_SCSimp_Box2_LastRow" localSheetId="13" hidden="1">#REF!</definedName>
    <definedName name="QET_SCSimp_Box2_LastRow" localSheetId="3" hidden="1">#REF!</definedName>
    <definedName name="QET_SCSimp_Box2_LastRow" localSheetId="6" hidden="1">#REF!</definedName>
    <definedName name="QET_SCSimp_Box2_LastRow" hidden="1">#REF!</definedName>
    <definedName name="QET_SCSimp_Box3_FirstRow" localSheetId="14" hidden="1">#REF!</definedName>
    <definedName name="QET_SCSimp_Box3_FirstRow" localSheetId="7" hidden="1">#REF!</definedName>
    <definedName name="QET_SCSimp_Box3_FirstRow" localSheetId="1" hidden="1">#REF!</definedName>
    <definedName name="QET_SCSimp_Box3_FirstRow" localSheetId="5" hidden="1">#REF!</definedName>
    <definedName name="QET_SCSimp_Box3_FirstRow" localSheetId="4" hidden="1">#REF!</definedName>
    <definedName name="QET_SCSimp_Box3_FirstRow" localSheetId="13" hidden="1">#REF!</definedName>
    <definedName name="QET_SCSimp_Box3_FirstRow" localSheetId="3" hidden="1">#REF!</definedName>
    <definedName name="QET_SCSimp_Box3_FirstRow" localSheetId="6" hidden="1">#REF!</definedName>
    <definedName name="QET_SCSimp_Box3_FirstRow" hidden="1">#REF!</definedName>
    <definedName name="QET_SCSimp_Box3_LastRow" localSheetId="14" hidden="1">#REF!</definedName>
    <definedName name="QET_SCSimp_Box3_LastRow" localSheetId="7" hidden="1">#REF!</definedName>
    <definedName name="QET_SCSimp_Box3_LastRow" localSheetId="1" hidden="1">#REF!</definedName>
    <definedName name="QET_SCSimp_Box3_LastRow" localSheetId="5" hidden="1">#REF!</definedName>
    <definedName name="QET_SCSimp_Box3_LastRow" localSheetId="4" hidden="1">#REF!</definedName>
    <definedName name="QET_SCSimp_Box3_LastRow" localSheetId="13" hidden="1">#REF!</definedName>
    <definedName name="QET_SCSimp_Box3_LastRow" localSheetId="3" hidden="1">#REF!</definedName>
    <definedName name="QET_SCSimp_Box3_LastRow" localSheetId="6" hidden="1">#REF!</definedName>
    <definedName name="QET_SCSimp_Box3_LastRow" hidden="1">#REF!</definedName>
    <definedName name="QET_SCSimp_Box4_FirstRow" localSheetId="14" hidden="1">#REF!</definedName>
    <definedName name="QET_SCSimp_Box4_FirstRow" localSheetId="7" hidden="1">#REF!</definedName>
    <definedName name="QET_SCSimp_Box4_FirstRow" localSheetId="1" hidden="1">#REF!</definedName>
    <definedName name="QET_SCSimp_Box4_FirstRow" localSheetId="5" hidden="1">#REF!</definedName>
    <definedName name="QET_SCSimp_Box4_FirstRow" localSheetId="4" hidden="1">#REF!</definedName>
    <definedName name="QET_SCSimp_Box4_FirstRow" localSheetId="13" hidden="1">#REF!</definedName>
    <definedName name="QET_SCSimp_Box4_FirstRow" localSheetId="3" hidden="1">#REF!</definedName>
    <definedName name="QET_SCSimp_Box4_FirstRow" localSheetId="6" hidden="1">#REF!</definedName>
    <definedName name="QET_SCSimp_Box4_FirstRow" hidden="1">#REF!</definedName>
    <definedName name="QET_SCSimp_Box4_LastRow" localSheetId="14" hidden="1">#REF!</definedName>
    <definedName name="QET_SCSimp_Box4_LastRow" localSheetId="7" hidden="1">#REF!</definedName>
    <definedName name="QET_SCSimp_Box4_LastRow" localSheetId="1" hidden="1">#REF!</definedName>
    <definedName name="QET_SCSimp_Box4_LastRow" localSheetId="5" hidden="1">#REF!</definedName>
    <definedName name="QET_SCSimp_Box4_LastRow" localSheetId="4" hidden="1">#REF!</definedName>
    <definedName name="QET_SCSimp_Box4_LastRow" localSheetId="13" hidden="1">#REF!</definedName>
    <definedName name="QET_SCSimp_Box4_LastRow" localSheetId="3" hidden="1">#REF!</definedName>
    <definedName name="QET_SCSimp_Box4_LastRow" localSheetId="6" hidden="1">#REF!</definedName>
    <definedName name="QET_SCSimp_Box4_LastRow" hidden="1">#REF!</definedName>
    <definedName name="QET_SCSimp_Box5_FirstRow" localSheetId="14" hidden="1">#REF!</definedName>
    <definedName name="QET_SCSimp_Box5_FirstRow" localSheetId="7" hidden="1">#REF!</definedName>
    <definedName name="QET_SCSimp_Box5_FirstRow" localSheetId="1" hidden="1">#REF!</definedName>
    <definedName name="QET_SCSimp_Box5_FirstRow" localSheetId="5" hidden="1">#REF!</definedName>
    <definedName name="QET_SCSimp_Box5_FirstRow" localSheetId="4" hidden="1">#REF!</definedName>
    <definedName name="QET_SCSimp_Box5_FirstRow" localSheetId="13" hidden="1">#REF!</definedName>
    <definedName name="QET_SCSimp_Box5_FirstRow" localSheetId="3" hidden="1">#REF!</definedName>
    <definedName name="QET_SCSimp_Box5_FirstRow" localSheetId="6" hidden="1">#REF!</definedName>
    <definedName name="QET_SCSimp_Box5_FirstRow" hidden="1">#REF!</definedName>
    <definedName name="QET_SCSimp_Box5_LastRow" localSheetId="14" hidden="1">#REF!</definedName>
    <definedName name="QET_SCSimp_Box5_LastRow" localSheetId="7" hidden="1">#REF!</definedName>
    <definedName name="QET_SCSimp_Box5_LastRow" localSheetId="1" hidden="1">#REF!</definedName>
    <definedName name="QET_SCSimp_Box5_LastRow" localSheetId="5" hidden="1">#REF!</definedName>
    <definedName name="QET_SCSimp_Box5_LastRow" localSheetId="4" hidden="1">#REF!</definedName>
    <definedName name="QET_SCSimp_Box5_LastRow" localSheetId="13" hidden="1">#REF!</definedName>
    <definedName name="QET_SCSimp_Box5_LastRow" localSheetId="3" hidden="1">#REF!</definedName>
    <definedName name="QET_SCSimp_Box5_LastRow" localSheetId="6" hidden="1">#REF!</definedName>
    <definedName name="QET_SCSimp_Box5_LastRow" hidden="1">#REF!</definedName>
    <definedName name="QET_SCSimp_Box6_FirstRow" localSheetId="14" hidden="1">#REF!</definedName>
    <definedName name="QET_SCSimp_Box6_FirstRow" localSheetId="7" hidden="1">#REF!</definedName>
    <definedName name="QET_SCSimp_Box6_FirstRow" localSheetId="1" hidden="1">#REF!</definedName>
    <definedName name="QET_SCSimp_Box6_FirstRow" localSheetId="5" hidden="1">#REF!</definedName>
    <definedName name="QET_SCSimp_Box6_FirstRow" localSheetId="4" hidden="1">#REF!</definedName>
    <definedName name="QET_SCSimp_Box6_FirstRow" localSheetId="13" hidden="1">#REF!</definedName>
    <definedName name="QET_SCSimp_Box6_FirstRow" localSheetId="3" hidden="1">#REF!</definedName>
    <definedName name="QET_SCSimp_Box6_FirstRow" localSheetId="6" hidden="1">#REF!</definedName>
    <definedName name="QET_SCSimp_Box6_FirstRow" hidden="1">#REF!</definedName>
    <definedName name="QET_SCSimp_Box6_LastRow" localSheetId="14" hidden="1">#REF!</definedName>
    <definedName name="QET_SCSimp_Box6_LastRow" localSheetId="7" hidden="1">#REF!</definedName>
    <definedName name="QET_SCSimp_Box6_LastRow" localSheetId="1" hidden="1">#REF!</definedName>
    <definedName name="QET_SCSimp_Box6_LastRow" localSheetId="5" hidden="1">#REF!</definedName>
    <definedName name="QET_SCSimp_Box6_LastRow" localSheetId="4" hidden="1">#REF!</definedName>
    <definedName name="QET_SCSimp_Box6_LastRow" localSheetId="13" hidden="1">#REF!</definedName>
    <definedName name="QET_SCSimp_Box6_LastRow" localSheetId="3" hidden="1">#REF!</definedName>
    <definedName name="QET_SCSimp_Box6_LastRow" localSheetId="6" hidden="1">#REF!</definedName>
    <definedName name="QET_SCSimp_Box6_LastRow" hidden="1">#REF!</definedName>
    <definedName name="QET_SCSimp_Box7_FirstRow" localSheetId="14" hidden="1">#REF!</definedName>
    <definedName name="QET_SCSimp_Box7_FirstRow" localSheetId="7" hidden="1">#REF!</definedName>
    <definedName name="QET_SCSimp_Box7_FirstRow" localSheetId="1" hidden="1">#REF!</definedName>
    <definedName name="QET_SCSimp_Box7_FirstRow" localSheetId="5" hidden="1">#REF!</definedName>
    <definedName name="QET_SCSimp_Box7_FirstRow" localSheetId="4" hidden="1">#REF!</definedName>
    <definedName name="QET_SCSimp_Box7_FirstRow" localSheetId="13" hidden="1">#REF!</definedName>
    <definedName name="QET_SCSimp_Box7_FirstRow" localSheetId="3" hidden="1">#REF!</definedName>
    <definedName name="QET_SCSimp_Box7_FirstRow" localSheetId="6" hidden="1">#REF!</definedName>
    <definedName name="QET_SCSimp_Box7_FirstRow" hidden="1">#REF!</definedName>
    <definedName name="QET_SCSimp_Box7_LastRow" localSheetId="14" hidden="1">#REF!</definedName>
    <definedName name="QET_SCSimp_Box7_LastRow" localSheetId="7" hidden="1">#REF!</definedName>
    <definedName name="QET_SCSimp_Box7_LastRow" localSheetId="1" hidden="1">#REF!</definedName>
    <definedName name="QET_SCSimp_Box7_LastRow" localSheetId="5" hidden="1">#REF!</definedName>
    <definedName name="QET_SCSimp_Box7_LastRow" localSheetId="4" hidden="1">#REF!</definedName>
    <definedName name="QET_SCSimp_Box7_LastRow" localSheetId="13" hidden="1">#REF!</definedName>
    <definedName name="QET_SCSimp_Box7_LastRow" localSheetId="3" hidden="1">#REF!</definedName>
    <definedName name="QET_SCSimp_Box7_LastRow" localSheetId="6" hidden="1">#REF!</definedName>
    <definedName name="QET_SCSimp_Box7_LastRow" hidden="1">#REF!</definedName>
    <definedName name="QET_SCSimp_Box8_FirstRow" localSheetId="14" hidden="1">#REF!</definedName>
    <definedName name="QET_SCSimp_Box8_FirstRow" localSheetId="7" hidden="1">#REF!</definedName>
    <definedName name="QET_SCSimp_Box8_FirstRow" localSheetId="1" hidden="1">#REF!</definedName>
    <definedName name="QET_SCSimp_Box8_FirstRow" localSheetId="5" hidden="1">#REF!</definedName>
    <definedName name="QET_SCSimp_Box8_FirstRow" localSheetId="4" hidden="1">#REF!</definedName>
    <definedName name="QET_SCSimp_Box8_FirstRow" localSheetId="13" hidden="1">#REF!</definedName>
    <definedName name="QET_SCSimp_Box8_FirstRow" localSheetId="3" hidden="1">#REF!</definedName>
    <definedName name="QET_SCSimp_Box8_FirstRow" localSheetId="6" hidden="1">#REF!</definedName>
    <definedName name="QET_SCSimp_Box8_FirstRow" hidden="1">#REF!</definedName>
    <definedName name="QET_SCSimp_Box8_LastRow" localSheetId="14" hidden="1">#REF!</definedName>
    <definedName name="QET_SCSimp_Box8_LastRow" localSheetId="7" hidden="1">#REF!</definedName>
    <definedName name="QET_SCSimp_Box8_LastRow" localSheetId="1" hidden="1">#REF!</definedName>
    <definedName name="QET_SCSimp_Box8_LastRow" localSheetId="5" hidden="1">#REF!</definedName>
    <definedName name="QET_SCSimp_Box8_LastRow" localSheetId="4" hidden="1">#REF!</definedName>
    <definedName name="QET_SCSimp_Box8_LastRow" localSheetId="13" hidden="1">#REF!</definedName>
    <definedName name="QET_SCSimp_Box8_LastRow" localSheetId="3" hidden="1">#REF!</definedName>
    <definedName name="QET_SCSimp_Box8_LastRow" localSheetId="6" hidden="1">#REF!</definedName>
    <definedName name="QET_SCSimp_Box8_LastRow" hidden="1">#REF!</definedName>
    <definedName name="QET_SCSimp_FirstCol" localSheetId="14" hidden="1">#REF!</definedName>
    <definedName name="QET_SCSimp_FirstCol" localSheetId="7" hidden="1">#REF!</definedName>
    <definedName name="QET_SCSimp_FirstCol" localSheetId="1" hidden="1">#REF!</definedName>
    <definedName name="QET_SCSimp_FirstCol" localSheetId="5" hidden="1">#REF!</definedName>
    <definedName name="QET_SCSimp_FirstCol" localSheetId="4" hidden="1">#REF!</definedName>
    <definedName name="QET_SCSimp_FirstCol" localSheetId="13" hidden="1">#REF!</definedName>
    <definedName name="QET_SCSimp_FirstCol" localSheetId="3" hidden="1">#REF!</definedName>
    <definedName name="QET_SCSimp_FirstCol" localSheetId="6" hidden="1">#REF!</definedName>
    <definedName name="QET_SCSimp_FirstCol" hidden="1">#REF!</definedName>
    <definedName name="QET_SCSimp_LastCol" localSheetId="14" hidden="1">#REF!</definedName>
    <definedName name="QET_SCSimp_LastCol" localSheetId="7" hidden="1">#REF!</definedName>
    <definedName name="QET_SCSimp_LastCol" localSheetId="1" hidden="1">#REF!</definedName>
    <definedName name="QET_SCSimp_LastCol" localSheetId="5" hidden="1">#REF!</definedName>
    <definedName name="QET_SCSimp_LastCol" localSheetId="4" hidden="1">#REF!</definedName>
    <definedName name="QET_SCSimp_LastCol" localSheetId="13" hidden="1">#REF!</definedName>
    <definedName name="QET_SCSimp_LastCol" localSheetId="3" hidden="1">#REF!</definedName>
    <definedName name="QET_SCSimp_LastCol" localSheetId="6" hidden="1">#REF!</definedName>
    <definedName name="QET_SCSimp_LastCol" hidden="1">#REF!</definedName>
    <definedName name="QET_TolWks_FirstRow" localSheetId="14">#REF!</definedName>
    <definedName name="QET_TolWks_FirstRow" localSheetId="7">#REF!</definedName>
    <definedName name="QET_TolWks_FirstRow" localSheetId="1">#REF!</definedName>
    <definedName name="QET_TolWks_FirstRow" localSheetId="5">#REF!</definedName>
    <definedName name="QET_TolWks_FirstRow" localSheetId="4">#REF!</definedName>
    <definedName name="QET_TolWks_FirstRow" localSheetId="13">#REF!</definedName>
    <definedName name="QET_TolWks_FirstRow" localSheetId="3">#REF!</definedName>
    <definedName name="QET_TolWks_FirstRow" localSheetId="6">#REF!</definedName>
    <definedName name="QET_TolWks_FirstRow">#REF!</definedName>
    <definedName name="QET_TolWks_LastRow" localSheetId="14" hidden="1">#REF!</definedName>
    <definedName name="QET_TolWks_LastRow" localSheetId="7" hidden="1">#REF!</definedName>
    <definedName name="QET_TolWks_LastRow" localSheetId="1" hidden="1">#REF!</definedName>
    <definedName name="QET_TolWks_LastRow" localSheetId="5" hidden="1">#REF!</definedName>
    <definedName name="QET_TolWks_LastRow" localSheetId="4" hidden="1">#REF!</definedName>
    <definedName name="QET_TolWks_LastRow" localSheetId="13" hidden="1">#REF!</definedName>
    <definedName name="QET_TolWks_LastRow" localSheetId="3" hidden="1">#REF!</definedName>
    <definedName name="QET_TolWks_LastRow" localSheetId="6" hidden="1">#REF!</definedName>
    <definedName name="QET_TolWks_LastRow" hidden="1">#REF!</definedName>
    <definedName name="QET_TolWks_T">'[11]tmlWks_Tolerance Analysis'!$G:$G</definedName>
    <definedName name="QET_TolWks_Tlower">'[11]tmlWks_Tolerance Analysis'!$I:$I</definedName>
    <definedName name="QET_TolWks_Tupper">'[11]tmlWks_Tolerance Analysis'!$J:$J</definedName>
    <definedName name="qet_Top" localSheetId="14">#REF!</definedName>
    <definedName name="qet_Top" localSheetId="7">#REF!</definedName>
    <definedName name="qet_Top" localSheetId="1">#REF!</definedName>
    <definedName name="qet_Top" localSheetId="5">#REF!</definedName>
    <definedName name="qet_Top" localSheetId="4">#REF!</definedName>
    <definedName name="qet_Top" localSheetId="13">#REF!</definedName>
    <definedName name="qet_Top" localSheetId="3">#REF!</definedName>
    <definedName name="qet_Top" localSheetId="6">#REF!</definedName>
    <definedName name="qet_Top">#REF!</definedName>
    <definedName name="qet_yield_LastCol" localSheetId="14" hidden="1">#REF!</definedName>
    <definedName name="qet_yield_LastCol" localSheetId="7" hidden="1">#REF!</definedName>
    <definedName name="qet_yield_LastCol" localSheetId="1" hidden="1">#REF!</definedName>
    <definedName name="qet_yield_LastCol" localSheetId="5" hidden="1">#REF!</definedName>
    <definedName name="qet_yield_LastCol" localSheetId="4" hidden="1">#REF!</definedName>
    <definedName name="qet_yield_LastCol" localSheetId="13" hidden="1">#REF!</definedName>
    <definedName name="qet_yield_LastCol" localSheetId="3" hidden="1">#REF!</definedName>
    <definedName name="qet_yield_LastCol" localSheetId="6" hidden="1">#REF!</definedName>
    <definedName name="qet_yield_LastCol" hidden="1">#REF!</definedName>
    <definedName name="QPT_No" localSheetId="14">#REF!</definedName>
    <definedName name="QPT_No" localSheetId="7">#REF!</definedName>
    <definedName name="QPT_No" localSheetId="1">#REF!</definedName>
    <definedName name="QPT_No" localSheetId="5">#REF!</definedName>
    <definedName name="QPT_No" localSheetId="4">#REF!</definedName>
    <definedName name="QPT_No" localSheetId="13">#REF!</definedName>
    <definedName name="QPT_No" localSheetId="3">#REF!</definedName>
    <definedName name="QPT_No" localSheetId="6">#REF!</definedName>
    <definedName name="QPT_No">#REF!</definedName>
    <definedName name="R_1" localSheetId="1">[5]wksScatterPlot!$A$3</definedName>
    <definedName name="R_1" localSheetId="6">[5]wksScatterPlot!$A$3</definedName>
    <definedName name="R_1">[6]wksScatterPlot!$A$3</definedName>
    <definedName name="R_2" localSheetId="1">[5]wksScatterPlot!$B$3</definedName>
    <definedName name="R_2" localSheetId="6">[5]wksScatterPlot!$B$3</definedName>
    <definedName name="R_2">[6]wksScatterPlot!$B$3</definedName>
    <definedName name="RANGE" localSheetId="14">#REF!</definedName>
    <definedName name="RANGE" localSheetId="7">#REF!</definedName>
    <definedName name="RANGE" localSheetId="1">#REF!</definedName>
    <definedName name="RANGE" localSheetId="5">#REF!</definedName>
    <definedName name="RANGE" localSheetId="4">#REF!</definedName>
    <definedName name="RANGE" localSheetId="13">#REF!</definedName>
    <definedName name="RANGE" localSheetId="3">#REF!</definedName>
    <definedName name="RANGE" localSheetId="6">#REF!</definedName>
    <definedName name="RANGE">#REF!</definedName>
    <definedName name="RegressionAnal" localSheetId="14">#REF!</definedName>
    <definedName name="RegressionAnal" localSheetId="7">#REF!</definedName>
    <definedName name="RegressionAnal" localSheetId="1">#REF!</definedName>
    <definedName name="RegressionAnal" localSheetId="5">#REF!</definedName>
    <definedName name="RegressionAnal" localSheetId="4">#REF!</definedName>
    <definedName name="RegressionAnal" localSheetId="13">#REF!</definedName>
    <definedName name="RegressionAnal" localSheetId="3">#REF!</definedName>
    <definedName name="RegressionAnal" localSheetId="6">#REF!</definedName>
    <definedName name="RegressionAnal">#REF!</definedName>
    <definedName name="RegStats" localSheetId="14">#REF!</definedName>
    <definedName name="RegStats" localSheetId="7">#REF!</definedName>
    <definedName name="RegStats" localSheetId="1">#REF!</definedName>
    <definedName name="RegStats" localSheetId="5">#REF!</definedName>
    <definedName name="RegStats" localSheetId="4">#REF!</definedName>
    <definedName name="RegStats" localSheetId="13">#REF!</definedName>
    <definedName name="RegStats" localSheetId="3">#REF!</definedName>
    <definedName name="RegStats" localSheetId="6">#REF!</definedName>
    <definedName name="RegStats">#REF!</definedName>
    <definedName name="RiskMatrix" localSheetId="1">[7]Matrix!$B$4:$K$13</definedName>
    <definedName name="RiskMatrix" localSheetId="4">'[8]Project Plan'!$B$4:$K$13</definedName>
    <definedName name="RiskMatrix" localSheetId="6">[7]Matrix!$B$4:$K$13</definedName>
    <definedName name="RiskMatrix">'[9]Project Plan'!$B$4:$K$13</definedName>
    <definedName name="RowAnchor" localSheetId="14">#REF!</definedName>
    <definedName name="RowAnchor" localSheetId="7">#REF!</definedName>
    <definedName name="RowAnchor" localSheetId="1">#REF!</definedName>
    <definedName name="RowAnchor" localSheetId="5">#REF!</definedName>
    <definedName name="RowAnchor" localSheetId="4">#REF!</definedName>
    <definedName name="RowAnchor" localSheetId="13">#REF!</definedName>
    <definedName name="RowAnchor" localSheetId="3">#REF!</definedName>
    <definedName name="RowAnchor" localSheetId="6">#REF!</definedName>
    <definedName name="RowAnchor">#REF!</definedName>
    <definedName name="RSTDDEV" localSheetId="14">#REF!</definedName>
    <definedName name="RSTDDEV" localSheetId="7">#REF!</definedName>
    <definedName name="RSTDDEV" localSheetId="1">#REF!</definedName>
    <definedName name="RSTDDEV" localSheetId="5">#REF!</definedName>
    <definedName name="RSTDDEV" localSheetId="4">#REF!</definedName>
    <definedName name="RSTDDEV" localSheetId="13">#REF!</definedName>
    <definedName name="RSTDDEV" localSheetId="3">#REF!</definedName>
    <definedName name="RSTDDEV" localSheetId="6">#REF!</definedName>
    <definedName name="RSTDDEV">#REF!</definedName>
    <definedName name="scat_Back_Click">#N/A</definedName>
    <definedName name="scat_Backward_Spinner_Click">#N/A</definedName>
    <definedName name="scat_Cubic_Click">#N/A</definedName>
    <definedName name="scat_Display_Stats_Click">#N/A</definedName>
    <definedName name="scat_Forward_Spinner_Click">#N/A</definedName>
    <definedName name="scat_Linear_Click">#N/A</definedName>
    <definedName name="scat_No_Line_Click">#N/A</definedName>
    <definedName name="scat_Quadratic_Click">#N/A</definedName>
    <definedName name="scat_Save_Defaults">#N/A</definedName>
    <definedName name="scatButton_Click">#N/A</definedName>
    <definedName name="scores">'[12]DOE 2^2 template'!$B$11:$D$11</definedName>
    <definedName name="scores3">#REF!</definedName>
    <definedName name="scores4">#REF!</definedName>
    <definedName name="Scroll_Width" localSheetId="1">[5]wksHistogram!$AF$16</definedName>
    <definedName name="Scroll_Width" localSheetId="6">[5]wksHistogram!$AF$16</definedName>
    <definedName name="Scroll_Width">[6]wksHistogram!$AF$16</definedName>
    <definedName name="SemanaParaMostrar">Gantt!$E$6</definedName>
    <definedName name="Severity" localSheetId="1">[7]Matrix!$T$5:$U$9</definedName>
    <definedName name="Severity" localSheetId="4">'[8]Project Plan'!$T$5:$U$9</definedName>
    <definedName name="Severity" localSheetId="6">[7]Matrix!$T$5:$U$9</definedName>
    <definedName name="Severity">'[9]Project Plan'!$T$5:$U$9</definedName>
    <definedName name="Slope" localSheetId="1">[5]wksScatterPlot!$AF$2</definedName>
    <definedName name="Slope" localSheetId="6">[5]wksScatterPlot!$AF$2</definedName>
    <definedName name="Slope">[6]wksScatterPlot!$AF$2</definedName>
    <definedName name="Small_Back_Click">#N/A</definedName>
    <definedName name="SSE" localSheetId="14">#REF!</definedName>
    <definedName name="SSE" localSheetId="7">#REF!</definedName>
    <definedName name="SSE" localSheetId="1">#REF!</definedName>
    <definedName name="SSE" localSheetId="5">#REF!</definedName>
    <definedName name="SSE" localSheetId="4">#REF!</definedName>
    <definedName name="SSE" localSheetId="13">#REF!</definedName>
    <definedName name="SSE" localSheetId="3">#REF!</definedName>
    <definedName name="SSE" localSheetId="6">#REF!</definedName>
    <definedName name="SSE">#REF!</definedName>
    <definedName name="SSR" localSheetId="14">#REF!</definedName>
    <definedName name="SSR" localSheetId="7">#REF!</definedName>
    <definedName name="SSR" localSheetId="1">#REF!</definedName>
    <definedName name="SSR" localSheetId="5">#REF!</definedName>
    <definedName name="SSR" localSheetId="4">#REF!</definedName>
    <definedName name="SSR" localSheetId="13">#REF!</definedName>
    <definedName name="SSR" localSheetId="3">#REF!</definedName>
    <definedName name="SSR" localSheetId="6">#REF!</definedName>
    <definedName name="SSR">#REF!</definedName>
    <definedName name="SST" localSheetId="14">#REF!</definedName>
    <definedName name="SST" localSheetId="7">#REF!</definedName>
    <definedName name="SST" localSheetId="1">#REF!</definedName>
    <definedName name="SST" localSheetId="5">#REF!</definedName>
    <definedName name="SST" localSheetId="4">#REF!</definedName>
    <definedName name="SST" localSheetId="13">#REF!</definedName>
    <definedName name="SST" localSheetId="3">#REF!</definedName>
    <definedName name="SST" localSheetId="6">#REF!</definedName>
    <definedName name="SST">#REF!</definedName>
    <definedName name="ST_Hrs" localSheetId="14">#REF!</definedName>
    <definedName name="ST_Hrs" localSheetId="7">#REF!</definedName>
    <definedName name="ST_Hrs" localSheetId="1">#REF!</definedName>
    <definedName name="ST_Hrs" localSheetId="5">#REF!</definedName>
    <definedName name="ST_Hrs" localSheetId="4">#REF!</definedName>
    <definedName name="ST_Hrs" localSheetId="13">#REF!</definedName>
    <definedName name="ST_Hrs" localSheetId="3">#REF!</definedName>
    <definedName name="ST_Hrs" localSheetId="6">#REF!</definedName>
    <definedName name="ST_Hrs">#REF!</definedName>
    <definedName name="ST_Rate" localSheetId="14">#REF!</definedName>
    <definedName name="ST_Rate" localSheetId="7">#REF!</definedName>
    <definedName name="ST_Rate" localSheetId="1">#REF!</definedName>
    <definedName name="ST_Rate" localSheetId="5">#REF!</definedName>
    <definedName name="ST_Rate" localSheetId="4">#REF!</definedName>
    <definedName name="ST_Rate" localSheetId="13">#REF!</definedName>
    <definedName name="ST_Rate" localSheetId="3">#REF!</definedName>
    <definedName name="ST_Rate" localSheetId="6">#REF!</definedName>
    <definedName name="ST_Rate">#REF!</definedName>
    <definedName name="StartValue">0.475</definedName>
    <definedName name="statButton_Click">#N/A</definedName>
    <definedName name="Status">'[13]Drop-Down'!$A$2:$A$5</definedName>
    <definedName name="StepValue">0.001</definedName>
    <definedName name="SumBaseCell" localSheetId="14">#REF!</definedName>
    <definedName name="SumBaseCell" localSheetId="7">#REF!</definedName>
    <definedName name="SumBaseCell" localSheetId="1">#REF!</definedName>
    <definedName name="SumBaseCell" localSheetId="5">#REF!</definedName>
    <definedName name="SumBaseCell" localSheetId="4">#REF!</definedName>
    <definedName name="SumBaseCell" localSheetId="13">#REF!</definedName>
    <definedName name="SumBaseCell" localSheetId="3">#REF!</definedName>
    <definedName name="SumBaseCell" localSheetId="6">#REF!</definedName>
    <definedName name="SumBaseCell">#REF!</definedName>
    <definedName name="T" localSheetId="14">#REF!</definedName>
    <definedName name="T" localSheetId="7">#REF!</definedName>
    <definedName name="T" localSheetId="1">#REF!</definedName>
    <definedName name="T" localSheetId="5">#REF!</definedName>
    <definedName name="T" localSheetId="4">#REF!</definedName>
    <definedName name="T" localSheetId="13">#REF!</definedName>
    <definedName name="T" localSheetId="3">#REF!</definedName>
    <definedName name="T" localSheetId="6">#REF!</definedName>
    <definedName name="T">#REF!</definedName>
    <definedName name="TARGET_Cell" localSheetId="1">[5]wksHistogram!$AF$2</definedName>
    <definedName name="TARGET_Cell" localSheetId="6">[5]wksHistogram!$AF$2</definedName>
    <definedName name="TARGET_Cell">[6]wksHistogram!$AF$2</definedName>
    <definedName name="task_end" localSheetId="10">Gantt!$F1</definedName>
    <definedName name="task_progress" localSheetId="10">Gantt!$D1</definedName>
    <definedName name="task_start" localSheetId="10">Gantt!$E1</definedName>
    <definedName name="_xlnm.Print_Titles" localSheetId="2">'Árbol CTQ (Critico Para Calida'!$2:$4</definedName>
    <definedName name="_xlnm.Print_Titles" localSheetId="10">Gantt!$6:$8</definedName>
    <definedName name="_xlnm.Print_Titles" localSheetId="13">'Project Charter'!$4:$7</definedName>
    <definedName name="Tolerance_Range">#REF!</definedName>
    <definedName name="Topic" localSheetId="1">#REF!</definedName>
    <definedName name="Topic" localSheetId="4">'[8]Project Contract'!$B$65:$B$66</definedName>
    <definedName name="Topic" localSheetId="3">#REF!</definedName>
    <definedName name="Topic" localSheetId="6">#REF!</definedName>
    <definedName name="Topic">'[9]Project Contract'!$B$65:$B$66</definedName>
    <definedName name="Topic1" localSheetId="14">#REF!</definedName>
    <definedName name="Topic1" localSheetId="7">#REF!</definedName>
    <definedName name="Topic1" localSheetId="1">#REF!</definedName>
    <definedName name="Topic1" localSheetId="5">#REF!</definedName>
    <definedName name="Topic1" localSheetId="4">#REF!</definedName>
    <definedName name="Topic1" localSheetId="13">#REF!</definedName>
    <definedName name="Topic1" localSheetId="3">#REF!</definedName>
    <definedName name="Topic1" localSheetId="6">#REF!</definedName>
    <definedName name="Topic1">#REF!</definedName>
    <definedName name="Topic3" localSheetId="14">#REF!</definedName>
    <definedName name="Topic3" localSheetId="7">#REF!</definedName>
    <definedName name="Topic3" localSheetId="1">#REF!</definedName>
    <definedName name="Topic3" localSheetId="5">#REF!</definedName>
    <definedName name="Topic3" localSheetId="4">#REF!</definedName>
    <definedName name="Topic3" localSheetId="13">#REF!</definedName>
    <definedName name="Topic3" localSheetId="3">#REF!</definedName>
    <definedName name="Topic3" localSheetId="6">#REF!</definedName>
    <definedName name="Topic3">#REF!</definedName>
    <definedName name="Topic4" localSheetId="14">#REF!</definedName>
    <definedName name="Topic4" localSheetId="7">#REF!</definedName>
    <definedName name="Topic4" localSheetId="1">#REF!</definedName>
    <definedName name="Topic4" localSheetId="5">#REF!</definedName>
    <definedName name="Topic4" localSheetId="4">#REF!</definedName>
    <definedName name="Topic4" localSheetId="13">#REF!</definedName>
    <definedName name="Topic4" localSheetId="3">#REF!</definedName>
    <definedName name="Topic4" localSheetId="6">#REF!</definedName>
    <definedName name="Topic4">#REF!</definedName>
    <definedName name="Topic5" localSheetId="14">#REF!</definedName>
    <definedName name="Topic5" localSheetId="7">#REF!</definedName>
    <definedName name="Topic5" localSheetId="1">#REF!</definedName>
    <definedName name="Topic5" localSheetId="5">#REF!</definedName>
    <definedName name="Topic5" localSheetId="4">#REF!</definedName>
    <definedName name="Topic5" localSheetId="13">#REF!</definedName>
    <definedName name="Topic5" localSheetId="3">#REF!</definedName>
    <definedName name="Topic5" localSheetId="6">#REF!</definedName>
    <definedName name="Topic5">#REF!</definedName>
    <definedName name="Total_Wkly_Hrs" localSheetId="14">#REF!</definedName>
    <definedName name="Total_Wkly_Hrs" localSheetId="7">#REF!</definedName>
    <definedName name="Total_Wkly_Hrs" localSheetId="1">#REF!</definedName>
    <definedName name="Total_Wkly_Hrs" localSheetId="5">#REF!</definedName>
    <definedName name="Total_Wkly_Hrs" localSheetId="4">#REF!</definedName>
    <definedName name="Total_Wkly_Hrs" localSheetId="13">#REF!</definedName>
    <definedName name="Total_Wkly_Hrs" localSheetId="3">#REF!</definedName>
    <definedName name="Total_Wkly_Hrs" localSheetId="6">#REF!</definedName>
    <definedName name="Total_Wkly_Hrs">#REF!</definedName>
    <definedName name="Trend_Equation">[14]wksScatterPlot!#REF!</definedName>
    <definedName name="Trend_X0" localSheetId="1">[5]wksScatterPlot!$AE$4</definedName>
    <definedName name="Trend_X0" localSheetId="6">[5]wksScatterPlot!$AE$4</definedName>
    <definedName name="Trend_X0">[6]wksScatterPlot!$AE$4</definedName>
    <definedName name="Trend_X1" localSheetId="1">[5]wksScatterPlot!$AE$5</definedName>
    <definedName name="Trend_X1" localSheetId="6">[5]wksScatterPlot!$AE$5</definedName>
    <definedName name="Trend_X1">[6]wksScatterPlot!$AE$5</definedName>
    <definedName name="Trend_Y0" localSheetId="1">[5]wksScatterPlot!$AF$4</definedName>
    <definedName name="Trend_Y0" localSheetId="6">[5]wksScatterPlot!$AF$4</definedName>
    <definedName name="Trend_Y0">[6]wksScatterPlot!$AF$4</definedName>
    <definedName name="Trend_Y1" localSheetId="1">[5]wksScatterPlot!$AF$5</definedName>
    <definedName name="Trend_Y1" localSheetId="6">[5]wksScatterPlot!$AF$5</definedName>
    <definedName name="Trend_Y1">[6]wksScatterPlot!$AF$5</definedName>
    <definedName name="TYPE" localSheetId="1">[5]wksHistogram!$AF$1</definedName>
    <definedName name="TYPE" localSheetId="6">[5]wksHistogram!$AF$1</definedName>
    <definedName name="TYPE">[6]wksHistogram!$AF$1</definedName>
    <definedName name="UCL" localSheetId="14">#REF!</definedName>
    <definedName name="UCL" localSheetId="7">#REF!</definedName>
    <definedName name="UCL" localSheetId="1">#REF!</definedName>
    <definedName name="UCL" localSheetId="5">#REF!</definedName>
    <definedName name="UCL" localSheetId="4">#REF!</definedName>
    <definedName name="UCL" localSheetId="13">#REF!</definedName>
    <definedName name="UCL" localSheetId="3">#REF!</definedName>
    <definedName name="UCL" localSheetId="6">#REF!</definedName>
    <definedName name="UCL">#REF!</definedName>
    <definedName name="Unit_Range" localSheetId="1">'[5]wksP-Chart'!$AQ$2</definedName>
    <definedName name="Unit_Range" localSheetId="6">'[5]wksP-Chart'!$AQ$2</definedName>
    <definedName name="Unit_Range">'[6]wksP-Chart'!$AQ$2</definedName>
    <definedName name="UserXRange" localSheetId="14">#REF!</definedName>
    <definedName name="UserXRange" localSheetId="7">#REF!</definedName>
    <definedName name="UserXRange" localSheetId="1">#REF!</definedName>
    <definedName name="UserXRange" localSheetId="5">#REF!</definedName>
    <definedName name="UserXRange" localSheetId="4">#REF!</definedName>
    <definedName name="UserXRange" localSheetId="13">#REF!</definedName>
    <definedName name="UserXRange" localSheetId="3">#REF!</definedName>
    <definedName name="UserXRange" localSheetId="6">#REF!</definedName>
    <definedName name="UserXRange">#REF!</definedName>
    <definedName name="UserYRange" localSheetId="14">#REF!</definedName>
    <definedName name="UserYRange" localSheetId="7">#REF!</definedName>
    <definedName name="UserYRange" localSheetId="1">#REF!</definedName>
    <definedName name="UserYRange" localSheetId="5">#REF!</definedName>
    <definedName name="UserYRange" localSheetId="4">#REF!</definedName>
    <definedName name="UserYRange" localSheetId="13">#REF!</definedName>
    <definedName name="UserYRange" localSheetId="3">#REF!</definedName>
    <definedName name="UserYRange" localSheetId="6">#REF!</definedName>
    <definedName name="UserYRange">#REF!</definedName>
    <definedName name="USL" localSheetId="14">#REF!</definedName>
    <definedName name="USL" localSheetId="7">#REF!</definedName>
    <definedName name="USL" localSheetId="1">#REF!</definedName>
    <definedName name="USL" localSheetId="5">#REF!</definedName>
    <definedName name="USL" localSheetId="4">#REF!</definedName>
    <definedName name="USL" localSheetId="13">#REF!</definedName>
    <definedName name="USL" localSheetId="3">#REF!</definedName>
    <definedName name="USL" localSheetId="6">#REF!</definedName>
    <definedName name="USL">#REF!</definedName>
    <definedName name="USL_cell" localSheetId="1">[5]wksHistogram!$AF$3</definedName>
    <definedName name="USL_cell" localSheetId="6">[5]wksHistogram!$AF$3</definedName>
    <definedName name="USL_cell">[6]wksHistogram!$AF$3</definedName>
    <definedName name="Variable_Name" localSheetId="1">[5]wksCapAnalysis!$AF$3</definedName>
    <definedName name="Variable_Name" localSheetId="6">[5]wksCapAnalysis!$AF$3</definedName>
    <definedName name="Variable_Name">[6]wksCapAnalysis!$AF$3</definedName>
    <definedName name="WF" localSheetId="14">#REF!</definedName>
    <definedName name="WF" localSheetId="7">#REF!</definedName>
    <definedName name="WF" localSheetId="1">#REF!</definedName>
    <definedName name="WF" localSheetId="5">#REF!</definedName>
    <definedName name="WF" localSheetId="4">#REF!</definedName>
    <definedName name="WF" localSheetId="13">#REF!</definedName>
    <definedName name="WF" localSheetId="3">#REF!</definedName>
    <definedName name="WF" localSheetId="6">#REF!</definedName>
    <definedName name="WF">#REF!</definedName>
    <definedName name="Width">2</definedName>
    <definedName name="Wkly_Hrs" localSheetId="14">#REF!</definedName>
    <definedName name="Wkly_Hrs" localSheetId="7">#REF!</definedName>
    <definedName name="Wkly_Hrs" localSheetId="1">#REF!</definedName>
    <definedName name="Wkly_Hrs" localSheetId="5">#REF!</definedName>
    <definedName name="Wkly_Hrs" localSheetId="4">#REF!</definedName>
    <definedName name="Wkly_Hrs" localSheetId="13">#REF!</definedName>
    <definedName name="Wkly_Hrs" localSheetId="3">#REF!</definedName>
    <definedName name="Wkly_Hrs" localSheetId="6">#REF!</definedName>
    <definedName name="Wkly_Hrs">#REF!</definedName>
    <definedName name="WPOAUDIT_Sheet1_List">[15]Form!$A$37:$A$38</definedName>
    <definedName name="WR" localSheetId="14">#REF!</definedName>
    <definedName name="WR" localSheetId="7">#REF!</definedName>
    <definedName name="WR" localSheetId="1">#REF!</definedName>
    <definedName name="WR" localSheetId="5">#REF!</definedName>
    <definedName name="WR" localSheetId="4">#REF!</definedName>
    <definedName name="WR" localSheetId="13">#REF!</definedName>
    <definedName name="WR" localSheetId="3">#REF!</definedName>
    <definedName name="WR" localSheetId="6">#REF!</definedName>
    <definedName name="WR">#REF!</definedName>
    <definedName name="X0" localSheetId="1">[5]wksScatterPlot!$AE$4</definedName>
    <definedName name="X0" localSheetId="6">[5]wksScatterPlot!$AE$4</definedName>
    <definedName name="X0">[6]wksScatterPlot!$AE$4</definedName>
    <definedName name="Y0" localSheetId="1">[5]wksScatterPlot!$AF$4</definedName>
    <definedName name="Y0" localSheetId="6">[5]wksScatterPlot!$AF$4</definedName>
    <definedName name="Y0">[6]wksScatterPlot!$AF$4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9" l="1"/>
  <c r="G25" i="19"/>
  <c r="G24" i="19"/>
  <c r="G23" i="19"/>
  <c r="G22" i="19"/>
  <c r="D22" i="19"/>
  <c r="G21" i="19"/>
  <c r="G20" i="19"/>
  <c r="G19" i="19"/>
  <c r="G18" i="19"/>
  <c r="D18" i="19"/>
  <c r="G17" i="19"/>
  <c r="G16" i="19"/>
  <c r="G15" i="19"/>
  <c r="G14" i="19"/>
  <c r="D14" i="19"/>
  <c r="G13" i="19"/>
  <c r="G12" i="19"/>
  <c r="G11" i="19"/>
  <c r="G10" i="19"/>
  <c r="G9" i="19"/>
  <c r="D9" i="19"/>
  <c r="E4" i="19"/>
  <c r="H7" i="19" s="1"/>
  <c r="D30" i="19" l="1"/>
  <c r="I7" i="19"/>
  <c r="H6" i="19"/>
  <c r="H8" i="19"/>
  <c r="I8" i="19" l="1"/>
  <c r="J7" i="19"/>
  <c r="K7" i="19" l="1"/>
  <c r="J8" i="19"/>
  <c r="K8" i="19" l="1"/>
  <c r="L7" i="19"/>
  <c r="M7" i="19" l="1"/>
  <c r="L8" i="19"/>
  <c r="M8" i="19" l="1"/>
  <c r="N7" i="19"/>
  <c r="O7" i="19" l="1"/>
  <c r="N8" i="19"/>
  <c r="O8" i="19" l="1"/>
  <c r="P7" i="19"/>
  <c r="O6" i="19"/>
  <c r="P8" i="19" l="1"/>
  <c r="Q7" i="19"/>
  <c r="Q8" i="19" l="1"/>
  <c r="R7" i="19"/>
  <c r="R8" i="19" l="1"/>
  <c r="S7" i="19"/>
  <c r="S8" i="19" l="1"/>
  <c r="T7" i="19"/>
  <c r="U7" i="19" l="1"/>
  <c r="T8" i="19"/>
  <c r="U8" i="19" l="1"/>
  <c r="V7" i="19"/>
  <c r="W7" i="19" l="1"/>
  <c r="V6" i="19"/>
  <c r="V8" i="19"/>
  <c r="W8" i="19" l="1"/>
  <c r="X7" i="19"/>
  <c r="Y7" i="19" l="1"/>
  <c r="X8" i="19"/>
  <c r="Z7" i="19" l="1"/>
  <c r="Y8" i="19"/>
  <c r="Z8" i="19" l="1"/>
  <c r="AA7" i="19"/>
  <c r="AA8" i="19" l="1"/>
  <c r="AB7" i="19"/>
  <c r="AC7" i="19" l="1"/>
  <c r="AB8" i="19"/>
  <c r="AC8" i="19" l="1"/>
  <c r="AD7" i="19"/>
  <c r="AC6" i="19"/>
  <c r="AD8" i="19" l="1"/>
  <c r="AE7" i="19"/>
  <c r="AE8" i="19" l="1"/>
  <c r="AF7" i="19"/>
  <c r="AF8" i="19" l="1"/>
  <c r="AG7" i="19"/>
  <c r="AG8" i="19" l="1"/>
  <c r="AH7" i="19"/>
  <c r="AI7" i="19" l="1"/>
  <c r="AH8" i="19"/>
  <c r="AI8" i="19" l="1"/>
  <c r="AJ7" i="19"/>
  <c r="AK7" i="19" l="1"/>
  <c r="AJ6" i="19"/>
  <c r="AJ8" i="19"/>
  <c r="AK8" i="19" l="1"/>
  <c r="AL7" i="19"/>
  <c r="AL8" i="19" l="1"/>
  <c r="AM7" i="19"/>
  <c r="AN7" i="19" l="1"/>
  <c r="AM8" i="19"/>
  <c r="AN8" i="19" l="1"/>
  <c r="AO7" i="19"/>
  <c r="AP7" i="19" l="1"/>
  <c r="AO8" i="19"/>
  <c r="AQ7" i="19" l="1"/>
  <c r="AP8" i="19"/>
  <c r="AQ8" i="19" l="1"/>
  <c r="AQ6" i="19"/>
  <c r="AR7" i="19"/>
  <c r="AS7" i="19" l="1"/>
  <c r="AR8" i="19"/>
  <c r="AS8" i="19" l="1"/>
  <c r="AT7" i="19"/>
  <c r="AT8" i="19" l="1"/>
  <c r="AU7" i="19"/>
  <c r="AU8" i="19" l="1"/>
  <c r="AV7" i="19"/>
  <c r="AV8" i="19" l="1"/>
  <c r="AW7" i="19"/>
  <c r="AX7" i="19" l="1"/>
  <c r="AW8" i="19"/>
  <c r="AY7" i="19" l="1"/>
  <c r="AX8" i="19"/>
  <c r="AX6" i="19"/>
  <c r="AY8" i="19" l="1"/>
  <c r="AZ7" i="19"/>
  <c r="BA7" i="19" l="1"/>
  <c r="AZ8" i="19"/>
  <c r="BB7" i="19" l="1"/>
  <c r="BA8" i="19"/>
  <c r="BC7" i="19" l="1"/>
  <c r="BB8" i="19"/>
  <c r="BC8" i="19" l="1"/>
  <c r="BD7" i="19"/>
  <c r="BE7" i="19" l="1"/>
  <c r="BD8" i="19"/>
  <c r="BE8" i="19" l="1"/>
  <c r="BF7" i="19"/>
  <c r="BE6" i="19"/>
  <c r="BF8" i="19" l="1"/>
  <c r="BG7" i="19"/>
  <c r="BG8" i="19" l="1"/>
  <c r="BH7" i="19"/>
  <c r="BI7" i="19" l="1"/>
  <c r="BH8" i="19"/>
  <c r="BI8" i="19" l="1"/>
  <c r="BJ7" i="19"/>
  <c r="BK7" i="19" l="1"/>
  <c r="BK8" i="19" s="1"/>
  <c r="BJ8" i="19"/>
  <c r="R33" i="9" l="1"/>
  <c r="P33" i="9"/>
  <c r="N33" i="9"/>
  <c r="E11" i="12"/>
  <c r="F11" i="12" s="1"/>
  <c r="F10" i="12"/>
  <c r="E8" i="12"/>
  <c r="F8" i="12" s="1"/>
  <c r="F7" i="12"/>
  <c r="E5" i="12"/>
  <c r="F5" i="12" s="1"/>
  <c r="F4" i="12"/>
  <c r="D73" i="9" l="1"/>
  <c r="D72" i="9"/>
  <c r="D71" i="9"/>
  <c r="K70" i="9"/>
  <c r="D70" i="9"/>
  <c r="K69" i="9"/>
  <c r="D69" i="9"/>
  <c r="K68" i="9"/>
  <c r="K67" i="9"/>
  <c r="K66" i="9"/>
  <c r="K60" i="9"/>
  <c r="K59" i="9"/>
  <c r="K58" i="9"/>
  <c r="K57" i="9"/>
  <c r="K56" i="9"/>
  <c r="I27" i="7"/>
  <c r="H28" i="7" s="1"/>
  <c r="E6" i="6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G7" i="6"/>
  <c r="H17" i="1"/>
  <c r="H16" i="1"/>
  <c r="H15" i="1"/>
  <c r="H14" i="1"/>
  <c r="H13" i="1"/>
  <c r="H12" i="1"/>
  <c r="H11" i="1"/>
  <c r="H8" i="1"/>
  <c r="H10" i="1"/>
  <c r="H9" i="1"/>
  <c r="H7" i="1"/>
  <c r="E28" i="7" l="1"/>
  <c r="C28" i="7"/>
  <c r="C29" i="7" s="1"/>
  <c r="G28" i="7"/>
  <c r="D28" i="7"/>
  <c r="F28" i="7"/>
  <c r="F6" i="6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D29" i="7" l="1"/>
  <c r="E29" i="7" s="1"/>
  <c r="F29" i="7" s="1"/>
  <c r="G29" i="7" s="1"/>
  <c r="H29" i="7" s="1"/>
</calcChain>
</file>

<file path=xl/sharedStrings.xml><?xml version="1.0" encoding="utf-8"?>
<sst xmlns="http://schemas.openxmlformats.org/spreadsheetml/2006/main" count="318" uniqueCount="248">
  <si>
    <t>Matriz de Priorizacion de Proyectos</t>
  </si>
  <si>
    <t>Importancia para el Cliente</t>
  </si>
  <si>
    <t>Beneficio Esperado</t>
  </si>
  <si>
    <t>Prioridad del Proyecto</t>
  </si>
  <si>
    <t>Alto: 5</t>
  </si>
  <si>
    <t>Alto: 1</t>
  </si>
  <si>
    <t>Bajo: 1</t>
  </si>
  <si>
    <t>Bajo: 5</t>
  </si>
  <si>
    <t>PROYECTO</t>
  </si>
  <si>
    <t>Costos de Implementacion</t>
  </si>
  <si>
    <t xml:space="preserve">Probabilidad de Éxito Factibilidad </t>
  </si>
  <si>
    <t>Importancia para la Empresa o Negocio</t>
  </si>
  <si>
    <t>Eleccion del proyecto:</t>
  </si>
  <si>
    <t>Clarificación del Problema</t>
  </si>
  <si>
    <t>IS</t>
  </si>
  <si>
    <t>CLARIFICATION</t>
  </si>
  <si>
    <r>
      <rPr>
        <b/>
        <sz val="8"/>
        <color rgb="FF000000"/>
        <rFont val="Arial"/>
        <family val="2"/>
      </rPr>
      <t>Cliente: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</si>
  <si>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>Que esta pasando?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</si>
  <si>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>Que tipo de problema es?</t>
    </r>
    <r>
      <rPr>
        <sz val="8"/>
        <color rgb="FF000000"/>
        <rFont val="Arial"/>
        <family val="2"/>
      </rPr>
      <t xml:space="preserve"> </t>
    </r>
  </si>
  <si>
    <t>Las especificaciones o lo que es o no un defecto están claros?</t>
  </si>
  <si>
    <r>
      <rPr>
        <b/>
        <sz val="8"/>
        <color rgb="FF000000"/>
        <rFont val="Arial"/>
        <family val="2"/>
      </rPr>
      <t>La severidad del problema varia?</t>
    </r>
    <r>
      <rPr>
        <sz val="8"/>
        <color rgb="FF000000"/>
        <rFont val="Arial"/>
        <family val="2"/>
      </rPr>
      <t xml:space="preserve"> </t>
    </r>
  </si>
  <si>
    <t xml:space="preserve">What?
</t>
  </si>
  <si>
    <t xml:space="preserve">Why?
</t>
  </si>
  <si>
    <r>
      <rPr>
        <b/>
        <sz val="8"/>
        <color rgb="FF000000"/>
        <rFont val="Arial"/>
        <family val="2"/>
      </rPr>
      <t>Por que es un problema?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</si>
  <si>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>Quien detecto el problema?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</si>
  <si>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>Quien reporto el problema?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</si>
  <si>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>A Quien se le reporto el problema?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</si>
  <si>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>Quien se esta quejando?</t>
    </r>
    <r>
      <rPr>
        <sz val="8"/>
        <color rgb="FF000000"/>
        <rFont val="Arial"/>
        <family val="2"/>
      </rPr>
      <t xml:space="preserve"> </t>
    </r>
  </si>
  <si>
    <t xml:space="preserve">Who?
</t>
  </si>
  <si>
    <r>
      <rPr>
        <b/>
        <sz val="8"/>
        <color rgb="FF000000"/>
        <rFont val="Arial"/>
        <family val="2"/>
      </rPr>
      <t>Donde se observo el problema? En una pieza o producto?  En que área o lote?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</si>
  <si>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>Donde se informo del problema?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</si>
  <si>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>Donde ocurrió el problema</t>
    </r>
    <r>
      <rPr>
        <sz val="8"/>
        <color rgb="FF000000"/>
        <rFont val="Arial"/>
        <family val="2"/>
      </rPr>
      <t xml:space="preserve">? </t>
    </r>
  </si>
  <si>
    <t xml:space="preserve">Ocurrió con el cliente? </t>
  </si>
  <si>
    <r>
      <rPr>
        <b/>
        <sz val="8"/>
        <color rgb="FF000000"/>
        <rFont val="Arial"/>
        <family val="2"/>
      </rPr>
      <t>Ocurrió dentro de la empresa?</t>
    </r>
    <r>
      <rPr>
        <sz val="8"/>
        <color rgb="FF000000"/>
        <rFont val="Arial"/>
        <family val="2"/>
      </rPr>
      <t xml:space="preserve"> </t>
    </r>
  </si>
  <si>
    <t xml:space="preserve">Where?
</t>
  </si>
  <si>
    <r>
      <rPr>
        <b/>
        <sz val="8"/>
        <color rgb="FF000000"/>
        <rFont val="Arial"/>
        <family val="2"/>
      </rPr>
      <t>En que turno se encontró el problema?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</si>
  <si>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>Cuando fue la ultima vez que se reporto el problema?</t>
    </r>
    <r>
      <rPr>
        <sz val="8"/>
        <color rgb="FF000000"/>
        <rFont val="Arial"/>
        <family val="2"/>
      </rPr>
      <t xml:space="preserve"> </t>
    </r>
  </si>
  <si>
    <r>
      <t xml:space="preserve">When?
</t>
    </r>
    <r>
      <rPr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 xml:space="preserve">
</t>
    </r>
  </si>
  <si>
    <t xml:space="preserve">Cual es la magnitud del problema? </t>
  </si>
  <si>
    <r>
      <rPr>
        <b/>
        <sz val="8"/>
        <color rgb="FF000000"/>
        <rFont val="Arial"/>
        <family val="2"/>
      </rPr>
      <t>Se puede cuantificar en PPM?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</si>
  <si>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>Cuanto dinero, tiempo y personal esta costando el problema?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</si>
  <si>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>Cual es el métrico del problema?</t>
    </r>
    <r>
      <rPr>
        <sz val="8"/>
        <color rgb="FF000000"/>
        <rFont val="Arial"/>
        <family val="2"/>
      </rPr>
      <t xml:space="preserve"> </t>
    </r>
  </si>
  <si>
    <t xml:space="preserve">Cual es la situacion ideal? </t>
  </si>
  <si>
    <r>
      <t>Cual situacion actual?</t>
    </r>
    <r>
      <rPr>
        <sz val="8"/>
        <color rgb="FF000000"/>
        <rFont val="Arial"/>
        <family val="2"/>
      </rPr>
      <t xml:space="preserve"> </t>
    </r>
  </si>
  <si>
    <t xml:space="preserve">Cual es el Gap? </t>
  </si>
  <si>
    <t xml:space="preserve">How Much/Many?
</t>
  </si>
  <si>
    <r>
      <rPr>
        <b/>
        <sz val="8"/>
        <color rgb="FF000000"/>
        <rFont val="Arial"/>
        <family val="2"/>
      </rPr>
      <t>Como ocurrió?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</si>
  <si>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>Que procedimientos se usaron?</t>
    </r>
    <r>
      <rPr>
        <sz val="8"/>
        <color rgb="FF000000"/>
        <rFont val="Arial"/>
        <family val="2"/>
      </rPr>
      <t xml:space="preserve"> </t>
    </r>
  </si>
  <si>
    <t>Tenemos evidencia física del problema?</t>
  </si>
  <si>
    <r>
      <rPr>
        <b/>
        <sz val="8"/>
        <color rgb="FF000000"/>
        <rFont val="Arial"/>
        <family val="2"/>
      </rPr>
      <t>Tenemos evidencia electrónica del problema?</t>
    </r>
    <r>
      <rPr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Correos, etc?</t>
    </r>
    <r>
      <rPr>
        <sz val="8"/>
        <color rgb="FF000000"/>
        <rFont val="Arial"/>
        <family val="2"/>
      </rPr>
      <t xml:space="preserve"> </t>
    </r>
  </si>
  <si>
    <t xml:space="preserve">How?
</t>
  </si>
  <si>
    <t>Definición del Problema (en base a toda la información escrita anteriormente)</t>
  </si>
  <si>
    <t>problem statement and business case</t>
  </si>
  <si>
    <r>
      <rPr>
        <b/>
        <sz val="8"/>
        <color rgb="FF000000"/>
        <rFont val="Arial"/>
        <family val="2"/>
      </rPr>
      <t>Producto o Numero de Parte: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</si>
  <si>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 xml:space="preserve">Liste toda la información que podría ayudar a definir el problema con mayor exactitud
</t>
    </r>
    <r>
      <rPr>
        <sz val="8"/>
        <color rgb="FF000000"/>
        <rFont val="Arial"/>
        <family val="2"/>
      </rPr>
      <t xml:space="preserve">
</t>
    </r>
  </si>
  <si>
    <t>Como se reporto inicialmente el problema</t>
  </si>
  <si>
    <t>Foto, imagen o Bosquejo del Problema</t>
  </si>
  <si>
    <t>What?</t>
  </si>
  <si>
    <t>Why?</t>
  </si>
  <si>
    <t>Who?</t>
  </si>
  <si>
    <t>Where?</t>
  </si>
  <si>
    <t>When?</t>
  </si>
  <si>
    <t>How Much/ Many?</t>
  </si>
  <si>
    <t>How?</t>
  </si>
  <si>
    <t>A quien afecta el problema? Para el cliente? Para la empresa o negocio?</t>
  </si>
  <si>
    <r>
      <rPr>
        <b/>
        <sz val="8"/>
        <color rgb="FF000000"/>
        <rFont val="Arial"/>
        <family val="2"/>
      </rPr>
      <t>Cuando el problema fue descubierto o reportado?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</si>
  <si>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Arial"/>
        <family val="2"/>
      </rPr>
      <t>Cuanto producto esta implicado?</t>
    </r>
    <r>
      <rPr>
        <sz val="8"/>
        <color rgb="FF000000"/>
        <rFont val="Arial"/>
        <family val="2"/>
      </rPr>
      <t xml:space="preserve"> </t>
    </r>
  </si>
  <si>
    <t>Promedio</t>
  </si>
  <si>
    <t>Línea base</t>
  </si>
  <si>
    <t>Proceso:</t>
  </si>
  <si>
    <t>SERIE DE TIEMPO - BASE LINE</t>
  </si>
  <si>
    <t>Tiempo(fecha,dias,meses)</t>
  </si>
  <si>
    <t>Métrico
(cantidad, dinero, porcentaje)</t>
  </si>
  <si>
    <t>Objetivo(Target):</t>
  </si>
  <si>
    <t>Categoria</t>
  </si>
  <si>
    <t>A</t>
  </si>
  <si>
    <t>B</t>
  </si>
  <si>
    <t>C</t>
  </si>
  <si>
    <t>D</t>
  </si>
  <si>
    <t>E</t>
  </si>
  <si>
    <t>Other</t>
  </si>
  <si>
    <t>TOTAL</t>
  </si>
  <si>
    <t>Frecuencia</t>
  </si>
  <si>
    <t>Porcentaje</t>
  </si>
  <si>
    <t>Porcentaje acumulado</t>
  </si>
  <si>
    <t>Objetivo del Proyecto</t>
  </si>
  <si>
    <t>Objetivo SMART</t>
  </si>
  <si>
    <t>Especifico(Specific):</t>
  </si>
  <si>
    <t>Medible(Measurable):</t>
  </si>
  <si>
    <t>Alcanzable(Attainable):</t>
  </si>
  <si>
    <t>Relevante(Relevant):</t>
  </si>
  <si>
    <t>Periodo de tiempo especifico(Time Based):</t>
  </si>
  <si>
    <t>S</t>
  </si>
  <si>
    <t>M</t>
  </si>
  <si>
    <t>R</t>
  </si>
  <si>
    <t>T</t>
  </si>
  <si>
    <t>Project Charter</t>
  </si>
  <si>
    <t>Nombre del Proyecto</t>
  </si>
  <si>
    <t>Champion / Sponsor</t>
  </si>
  <si>
    <t>Dueño del Proceso</t>
  </si>
  <si>
    <t>Finanzas</t>
  </si>
  <si>
    <t>Mentor (MBB-BB)</t>
  </si>
  <si>
    <t>Category</t>
  </si>
  <si>
    <t>Hard Benefit</t>
  </si>
  <si>
    <t>Soft Benefit</t>
  </si>
  <si>
    <t>Total</t>
  </si>
  <si>
    <t>Facilitador (GB-BB)</t>
  </si>
  <si>
    <t>Enunciado del Problema (Problem Statement)</t>
  </si>
  <si>
    <t>Warranty</t>
  </si>
  <si>
    <t>Scrap</t>
  </si>
  <si>
    <t>Rework</t>
  </si>
  <si>
    <t>Supplies</t>
  </si>
  <si>
    <t>Material</t>
  </si>
  <si>
    <t>Inventory</t>
  </si>
  <si>
    <t>One-Time</t>
  </si>
  <si>
    <t>Business Case</t>
  </si>
  <si>
    <t>Total Benefit</t>
  </si>
  <si>
    <t>Alcance del Proyecto (Scope)</t>
  </si>
  <si>
    <t>Scope In</t>
  </si>
  <si>
    <t xml:space="preserve"> </t>
  </si>
  <si>
    <t>Scope Out</t>
  </si>
  <si>
    <t>Metricos Clave - fase DEFINIR</t>
  </si>
  <si>
    <t>Firma y Fecha - fase DEFINIR</t>
  </si>
  <si>
    <t>Existe</t>
  </si>
  <si>
    <t>Baseline</t>
  </si>
  <si>
    <t>Ideal</t>
  </si>
  <si>
    <t>Metricos Clave - Cierre del Proyecto</t>
  </si>
  <si>
    <t>Firma y Fecha - Cierre del Proyecto</t>
  </si>
  <si>
    <t>DEFINE</t>
  </si>
  <si>
    <t>PROJECT NAME:</t>
  </si>
  <si>
    <t>PROBLEM STATEMENT AND BUSINESS</t>
  </si>
  <si>
    <t>METRIC KEY</t>
  </si>
  <si>
    <t>BASELINE</t>
  </si>
  <si>
    <t>IDEAL</t>
  </si>
  <si>
    <t xml:space="preserve">GAP: </t>
  </si>
  <si>
    <t>TEAM MEMBER</t>
  </si>
  <si>
    <t>Team Member</t>
  </si>
  <si>
    <t xml:space="preserve">POTENTIAL SAVINGS </t>
  </si>
  <si>
    <t>DATE</t>
  </si>
  <si>
    <t>STAR</t>
  </si>
  <si>
    <t>FINISH</t>
  </si>
  <si>
    <t>Empresa:</t>
  </si>
  <si>
    <t xml:space="preserve">  OBJECTIVE</t>
  </si>
  <si>
    <t>PROJECT MEMBERS</t>
  </si>
  <si>
    <t>ROLE</t>
  </si>
  <si>
    <t>NAME</t>
  </si>
  <si>
    <t>JOB</t>
  </si>
  <si>
    <t>GRAFICO DEL PROBLEMA</t>
  </si>
  <si>
    <t>GRAFICO SECUNDARIO(PARETOS/OTRAS SERIES DE TIEMPO)</t>
  </si>
  <si>
    <t>Objetivo
(Target)</t>
  </si>
  <si>
    <t>Promedio
(Mean)</t>
  </si>
  <si>
    <t>GRAFICO PARETO - BASE LINE</t>
  </si>
  <si>
    <t>CRITERIO</t>
  </si>
  <si>
    <t>AHORRO</t>
  </si>
  <si>
    <t>DESEADO</t>
  </si>
  <si>
    <t>GOAL</t>
  </si>
  <si>
    <t>RETADORA</t>
  </si>
  <si>
    <t xml:space="preserve">BENEFICIOS O AHORROS POTENCIALES </t>
  </si>
  <si>
    <t>METRICO</t>
  </si>
  <si>
    <t>BASE LINE - ACTUAL</t>
  </si>
  <si>
    <t>BENEFICIO - MEJORA</t>
  </si>
  <si>
    <t>CARACTERISTICAS CRITICAS DE CALIDAD (CTQ)</t>
  </si>
  <si>
    <t>FECHA:</t>
  </si>
  <si>
    <t xml:space="preserve"> Necesidad del Cliente</t>
  </si>
  <si>
    <t>Conductores de Calidad</t>
  </si>
  <si>
    <t>Requisitos de Calidad (CTQ)</t>
  </si>
  <si>
    <t>METRICOS</t>
  </si>
  <si>
    <t>PROCESS NAME</t>
  </si>
  <si>
    <t>PROCESS OWNER</t>
  </si>
  <si>
    <t>SUPPLIERS</t>
  </si>
  <si>
    <t>INPUTS</t>
  </si>
  <si>
    <t>PROCESS</t>
  </si>
  <si>
    <t>OUTPUTS</t>
  </si>
  <si>
    <t>CUSTOMERS</t>
  </si>
  <si>
    <t>PROVIDERS OF THE RESOURCES</t>
  </si>
  <si>
    <t>RESOURCES REQUIRED</t>
  </si>
  <si>
    <t>PROCESS DELIVERABLES</t>
  </si>
  <si>
    <t>STAKEHOLDERS</t>
  </si>
  <si>
    <t>COMPANY</t>
  </si>
  <si>
    <t>KEY METRICS</t>
  </si>
  <si>
    <t xml:space="preserve"> SIPOC</t>
  </si>
  <si>
    <t xml:space="preserve"> PROCESS DESCRPTION</t>
  </si>
  <si>
    <t>CASO DEL NEGOCIO</t>
  </si>
  <si>
    <t>CTQ</t>
  </si>
  <si>
    <t>LINEA BASE</t>
  </si>
  <si>
    <t>OBJETIVO</t>
  </si>
  <si>
    <t>TABLA DE IDENTIFICACIÓN DEL PROYECTO</t>
  </si>
  <si>
    <t>PLAN DE COMUNICACIÓN</t>
  </si>
  <si>
    <t>TEMA</t>
  </si>
  <si>
    <t>PROPOSITO</t>
  </si>
  <si>
    <t>RESPONSABLE</t>
  </si>
  <si>
    <t>AUDIENCIA</t>
  </si>
  <si>
    <t>MEDIO</t>
  </si>
  <si>
    <t>FRECUENCIA</t>
  </si>
  <si>
    <t>LUGAR</t>
  </si>
  <si>
    <t>RECURSOS PARA EL PROYECTO</t>
  </si>
  <si>
    <t>RECURSO</t>
  </si>
  <si>
    <t>OBTENCIÓN</t>
  </si>
  <si>
    <t>ENTREGABLES DEL PROYECTO</t>
  </si>
  <si>
    <t>HARD SAVINGS</t>
  </si>
  <si>
    <t>SOFT SAVINGS</t>
  </si>
  <si>
    <t>PROYECTO:</t>
  </si>
  <si>
    <t>Equipo del proyecto</t>
  </si>
  <si>
    <t>Team member</t>
  </si>
  <si>
    <t>Plan de seguimiento - Cronograma general</t>
  </si>
  <si>
    <t>Garantia</t>
  </si>
  <si>
    <t>Retrabajo</t>
  </si>
  <si>
    <t>Suministros</t>
  </si>
  <si>
    <t>Inventario</t>
  </si>
  <si>
    <t>Ingresos</t>
  </si>
  <si>
    <t>Cycle time</t>
  </si>
  <si>
    <t>Desperdicios</t>
  </si>
  <si>
    <t>Duracion del proyecto</t>
  </si>
  <si>
    <t>semanas</t>
  </si>
  <si>
    <t>Fase</t>
  </si>
  <si>
    <t>Fecha inicio</t>
  </si>
  <si>
    <t>fecha final</t>
  </si>
  <si>
    <t>Nombre</t>
  </si>
  <si>
    <t>Objetivo</t>
  </si>
  <si>
    <t>Mejoró</t>
  </si>
  <si>
    <t>Logrado</t>
  </si>
  <si>
    <t>Proyecto:</t>
  </si>
  <si>
    <t>Nombre de la empresa:</t>
  </si>
  <si>
    <t>Fecha de inicio del proeycto</t>
  </si>
  <si>
    <t>Responsable del proyecto:</t>
  </si>
  <si>
    <t>Semana a mostrar:</t>
  </si>
  <si>
    <t>TAREA</t>
  </si>
  <si>
    <t>ASIGNADO A</t>
  </si>
  <si>
    <t>PROGRESO</t>
  </si>
  <si>
    <t>INICIO</t>
  </si>
  <si>
    <t>FIN</t>
  </si>
  <si>
    <t>DÍAS</t>
  </si>
  <si>
    <t>DEFINIR</t>
  </si>
  <si>
    <t>Tarea 1</t>
  </si>
  <si>
    <t>Tarea 2</t>
  </si>
  <si>
    <t>Tarea 3</t>
  </si>
  <si>
    <t>Tarea 4</t>
  </si>
  <si>
    <t>MEDIR</t>
  </si>
  <si>
    <t>ANALIZAR</t>
  </si>
  <si>
    <t>MEJORAR</t>
  </si>
  <si>
    <t>CONTROLAR</t>
  </si>
  <si>
    <t>AVANCE DEL PROYECTO</t>
  </si>
  <si>
    <t>CIERRE DEL PROYECTO</t>
  </si>
  <si>
    <t>RECONOCIMEINTO DEL EQUIPO</t>
  </si>
  <si>
    <t>DIAGRAMA DE GANTT</t>
  </si>
  <si>
    <t xml:space="preserve">Beneficios </t>
  </si>
  <si>
    <t xml:space="preserve">Ahorros 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</si>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</sst>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m/d/yy;@"/>
    <numFmt numFmtId="165" formatCode="0.000"/>
    <numFmt numFmtId="166" formatCode="&quot;$&quot;#,##0"/>
    <numFmt numFmtId="167" formatCode="_(* #,##0.00_);_(* \(#,##0.00\);_(* &quot;-&quot;??_);_(@_)"/>
    <numFmt numFmtId="168" formatCode="_(&quot;$&quot;* #,##0.00_);_(&quot;$&quot;* \(#,##0.00\);_(&quot;$&quot;* &quot;-&quot;??_);_(@_)"/>
    <numFmt numFmtId="169" formatCode="_(&quot;$&quot;* #,##0_);_(&quot;$&quot;* \(#,##0\);_(&quot;$&quot;* &quot;-&quot;??_);_(@_)"/>
    <numFmt numFmtId="170" formatCode="_-&quot;$&quot;* #,##0_-;\-&quot;$&quot;* #,##0_-;_-&quot;$&quot;* &quot;-&quot;??_-;_-@_-"/>
    <numFmt numFmtId="171" formatCode="0.0%"/>
    <numFmt numFmtId="172" formatCode="mmmm\-yy"/>
    <numFmt numFmtId="173" formatCode="ddd\,\ dd/mm/yyyy"/>
    <numFmt numFmtId="174" formatCode="mmm\ &quot;de&quot;\ yyyy"/>
    <numFmt numFmtId="175" formatCode="d"/>
    <numFmt numFmtId="176" formatCode="d\-m\-yy;@"/>
  </numFmts>
  <fonts count="8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Arial"/>
      <family val="2"/>
    </font>
    <font>
      <sz val="20"/>
      <color theme="0"/>
      <name val="Arial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8"/>
      <color theme="1"/>
      <name val="Arial"/>
      <family val="2"/>
    </font>
    <font>
      <sz val="5"/>
      <color theme="0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sz val="8.5"/>
      <name val="Arial"/>
      <family val="2"/>
    </font>
    <font>
      <sz val="10"/>
      <color theme="1"/>
      <name val="Times New Roman"/>
      <family val="1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4"/>
      <name val="Arial"/>
      <family val="2"/>
    </font>
    <font>
      <sz val="8"/>
      <name val="Calibri"/>
      <family val="2"/>
      <scheme val="minor"/>
    </font>
    <font>
      <sz val="10"/>
      <color theme="0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Arial"/>
      <family val="2"/>
    </font>
    <font>
      <b/>
      <sz val="24"/>
      <color theme="0"/>
      <name val="Arial"/>
      <family val="2"/>
    </font>
    <font>
      <b/>
      <sz val="13"/>
      <color theme="0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sz val="12"/>
      <color theme="0"/>
      <name val="Arial"/>
      <family val="2"/>
    </font>
    <font>
      <sz val="10"/>
      <color indexed="12"/>
      <name val="Arial"/>
      <family val="2"/>
    </font>
    <font>
      <sz val="1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entury Gothic"/>
      <family val="2"/>
    </font>
    <font>
      <b/>
      <sz val="22"/>
      <color theme="0"/>
      <name val="Century Gothic"/>
      <family val="2"/>
    </font>
    <font>
      <sz val="10"/>
      <color theme="1"/>
      <name val="Century Gothic"/>
      <family val="2"/>
    </font>
    <font>
      <b/>
      <u/>
      <sz val="12"/>
      <color theme="1"/>
      <name val="Century Gothic"/>
      <family val="2"/>
    </font>
    <font>
      <u/>
      <sz val="11"/>
      <color theme="10"/>
      <name val="Century Gothic"/>
      <family val="2"/>
    </font>
    <font>
      <b/>
      <sz val="18"/>
      <color theme="1"/>
      <name val="Century Gothic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48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Calibri"/>
      <family val="2"/>
      <scheme val="minor"/>
    </font>
    <font>
      <i/>
      <sz val="14"/>
      <name val="Arial"/>
      <family val="2"/>
    </font>
    <font>
      <b/>
      <sz val="28"/>
      <color theme="0"/>
      <name val="Arial"/>
      <family val="2"/>
    </font>
    <font>
      <b/>
      <sz val="22"/>
      <color theme="1" tint="0.34998626667073579"/>
      <name val="Calibri Light"/>
      <family val="2"/>
      <scheme val="major"/>
    </font>
    <font>
      <b/>
      <sz val="20"/>
      <color theme="4" tint="-0.249977111117893"/>
      <name val="Calibri Light"/>
      <family val="2"/>
      <scheme val="major"/>
    </font>
    <font>
      <sz val="1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u/>
      <sz val="11"/>
      <color indexed="12"/>
      <name val="Arial"/>
      <family val="2"/>
    </font>
    <font>
      <sz val="10"/>
      <color theme="1" tint="0.499984740745262"/>
      <name val="Arial"/>
      <family val="2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0E03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theme="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</borders>
  <cellStyleXfs count="17">
    <xf numFmtId="0" fontId="0" fillId="0" borderId="0"/>
    <xf numFmtId="9" fontId="19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49" fillId="0" borderId="0"/>
    <xf numFmtId="0" fontId="53" fillId="0" borderId="0" applyNumberFormat="0" applyFill="0" applyBorder="0" applyAlignment="0" applyProtection="0"/>
    <xf numFmtId="0" fontId="20" fillId="0" borderId="0"/>
    <xf numFmtId="0" fontId="64" fillId="0" borderId="0" applyNumberFormat="0" applyFill="0" applyBorder="0" applyAlignment="0" applyProtection="0"/>
    <xf numFmtId="0" fontId="31" fillId="0" borderId="0" applyNumberFormat="0" applyFill="0" applyAlignment="0" applyProtection="0"/>
    <xf numFmtId="0" fontId="19" fillId="0" borderId="0" applyNumberFormat="0" applyFill="0" applyProtection="0">
      <alignment horizontal="right" indent="1"/>
    </xf>
    <xf numFmtId="173" fontId="19" fillId="0" borderId="61">
      <alignment horizontal="center"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Protection="0">
      <alignment vertical="top"/>
    </xf>
    <xf numFmtId="0" fontId="19" fillId="0" borderId="67" applyFill="0">
      <alignment horizontal="center" vertical="center"/>
    </xf>
    <xf numFmtId="0" fontId="19" fillId="0" borderId="67" applyFill="0">
      <alignment horizontal="left" vertical="center" indent="2"/>
    </xf>
    <xf numFmtId="164" fontId="19" fillId="0" borderId="67" applyFill="0">
      <alignment horizontal="center" vertical="center"/>
    </xf>
  </cellStyleXfs>
  <cellXfs count="540">
    <xf numFmtId="0" fontId="0" fillId="0" borderId="0" xfId="0"/>
    <xf numFmtId="0" fontId="0" fillId="2" borderId="0" xfId="0" applyFill="1"/>
    <xf numFmtId="0" fontId="0" fillId="2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10" xfId="0" applyFill="1" applyBorder="1"/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4" fillId="2" borderId="0" xfId="0" applyFont="1" applyFill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top" wrapText="1"/>
    </xf>
    <xf numFmtId="0" fontId="16" fillId="2" borderId="8" xfId="0" applyFont="1" applyFill="1" applyBorder="1" applyAlignment="1">
      <alignment vertical="center" wrapText="1"/>
    </xf>
    <xf numFmtId="0" fontId="12" fillId="4" borderId="8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vertical="top" wrapText="1"/>
    </xf>
    <xf numFmtId="0" fontId="15" fillId="2" borderId="19" xfId="0" applyFont="1" applyFill="1" applyBorder="1" applyAlignment="1">
      <alignment horizontal="left" vertical="top" wrapText="1"/>
    </xf>
    <xf numFmtId="0" fontId="16" fillId="2" borderId="8" xfId="0" applyFont="1" applyFill="1" applyBorder="1" applyAlignment="1">
      <alignment horizontal="left" vertical="top" wrapText="1"/>
    </xf>
    <xf numFmtId="0" fontId="15" fillId="2" borderId="8" xfId="0" applyFont="1" applyFill="1" applyBorder="1" applyAlignment="1">
      <alignment horizontal="center" vertical="top" wrapText="1"/>
    </xf>
    <xf numFmtId="0" fontId="20" fillId="0" borderId="0" xfId="2"/>
    <xf numFmtId="2" fontId="20" fillId="0" borderId="0" xfId="2" applyNumberFormat="1" applyAlignment="1">
      <alignment horizontal="center"/>
    </xf>
    <xf numFmtId="1" fontId="20" fillId="0" borderId="0" xfId="2" applyNumberFormat="1" applyAlignment="1">
      <alignment horizontal="center"/>
    </xf>
    <xf numFmtId="2" fontId="20" fillId="0" borderId="0" xfId="2" applyNumberFormat="1"/>
    <xf numFmtId="0" fontId="20" fillId="0" borderId="0" xfId="2" applyAlignment="1">
      <alignment horizontal="center"/>
    </xf>
    <xf numFmtId="1" fontId="20" fillId="0" borderId="0" xfId="2" applyNumberFormat="1"/>
    <xf numFmtId="0" fontId="20" fillId="6" borderId="0" xfId="2" applyFill="1"/>
    <xf numFmtId="2" fontId="20" fillId="6" borderId="0" xfId="2" applyNumberFormat="1" applyFill="1" applyAlignment="1">
      <alignment horizontal="center"/>
    </xf>
    <xf numFmtId="1" fontId="20" fillId="6" borderId="0" xfId="2" applyNumberFormat="1" applyFill="1" applyAlignment="1">
      <alignment horizontal="center"/>
    </xf>
    <xf numFmtId="2" fontId="20" fillId="6" borderId="0" xfId="2" applyNumberFormat="1" applyFill="1"/>
    <xf numFmtId="1" fontId="20" fillId="6" borderId="0" xfId="2" applyNumberFormat="1" applyFill="1"/>
    <xf numFmtId="0" fontId="20" fillId="6" borderId="0" xfId="2" applyFill="1" applyAlignment="1">
      <alignment horizontal="center"/>
    </xf>
    <xf numFmtId="0" fontId="20" fillId="2" borderId="0" xfId="2" applyFill="1"/>
    <xf numFmtId="2" fontId="20" fillId="6" borderId="0" xfId="2" applyNumberFormat="1" applyFill="1" applyBorder="1" applyAlignment="1">
      <alignment horizontal="center"/>
    </xf>
    <xf numFmtId="0" fontId="21" fillId="6" borderId="14" xfId="2" applyFont="1" applyFill="1" applyBorder="1" applyAlignment="1">
      <alignment horizontal="center" vertical="center" wrapText="1"/>
    </xf>
    <xf numFmtId="164" fontId="21" fillId="7" borderId="36" xfId="2" applyNumberFormat="1" applyFont="1" applyFill="1" applyBorder="1" applyAlignment="1">
      <alignment horizontal="center"/>
    </xf>
    <xf numFmtId="164" fontId="21" fillId="7" borderId="38" xfId="2" applyNumberFormat="1" applyFont="1" applyFill="1" applyBorder="1" applyAlignment="1">
      <alignment horizontal="center"/>
    </xf>
    <xf numFmtId="1" fontId="21" fillId="6" borderId="8" xfId="2" applyNumberFormat="1" applyFont="1" applyFill="1" applyBorder="1" applyAlignment="1">
      <alignment horizontal="center" vertical="center" wrapText="1"/>
    </xf>
    <xf numFmtId="1" fontId="21" fillId="6" borderId="44" xfId="2" applyNumberFormat="1" applyFont="1" applyFill="1" applyBorder="1" applyAlignment="1">
      <alignment horizontal="center"/>
    </xf>
    <xf numFmtId="165" fontId="21" fillId="6" borderId="45" xfId="2" applyNumberFormat="1" applyFont="1" applyFill="1" applyBorder="1" applyAlignment="1">
      <alignment horizontal="center"/>
    </xf>
    <xf numFmtId="2" fontId="21" fillId="6" borderId="34" xfId="2" applyNumberFormat="1" applyFont="1" applyFill="1" applyBorder="1" applyAlignment="1">
      <alignment horizontal="center" vertical="center" wrapText="1"/>
    </xf>
    <xf numFmtId="2" fontId="21" fillId="6" borderId="19" xfId="2" applyNumberFormat="1" applyFont="1" applyFill="1" applyBorder="1" applyAlignment="1">
      <alignment horizontal="center" vertical="center" wrapText="1"/>
    </xf>
    <xf numFmtId="0" fontId="20" fillId="0" borderId="39" xfId="1" applyNumberFormat="1" applyFont="1" applyBorder="1" applyAlignment="1">
      <alignment horizontal="center"/>
    </xf>
    <xf numFmtId="0" fontId="20" fillId="0" borderId="39" xfId="1" applyNumberFormat="1" applyFont="1" applyFill="1" applyBorder="1" applyAlignment="1">
      <alignment horizontal="center"/>
    </xf>
    <xf numFmtId="0" fontId="20" fillId="8" borderId="1" xfId="1" applyNumberFormat="1" applyFont="1" applyFill="1" applyBorder="1" applyAlignment="1">
      <alignment horizontal="center"/>
    </xf>
    <xf numFmtId="0" fontId="20" fillId="8" borderId="2" xfId="1" applyNumberFormat="1" applyFont="1" applyFill="1" applyBorder="1" applyAlignment="1">
      <alignment horizontal="center"/>
    </xf>
    <xf numFmtId="0" fontId="20" fillId="8" borderId="3" xfId="1" applyNumberFormat="1" applyFont="1" applyFill="1" applyBorder="1" applyAlignment="1">
      <alignment horizontal="center"/>
    </xf>
    <xf numFmtId="0" fontId="20" fillId="9" borderId="22" xfId="1" applyNumberFormat="1" applyFont="1" applyFill="1" applyBorder="1" applyAlignment="1">
      <alignment horizontal="center"/>
    </xf>
    <xf numFmtId="0" fontId="20" fillId="9" borderId="15" xfId="1" applyNumberFormat="1" applyFont="1" applyFill="1" applyBorder="1" applyAlignment="1">
      <alignment horizontal="center"/>
    </xf>
    <xf numFmtId="0" fontId="20" fillId="9" borderId="16" xfId="1" applyNumberFormat="1" applyFont="1" applyFill="1" applyBorder="1" applyAlignment="1">
      <alignment horizontal="center"/>
    </xf>
    <xf numFmtId="1" fontId="20" fillId="6" borderId="0" xfId="2" applyNumberFormat="1" applyFill="1" applyBorder="1" applyAlignment="1">
      <alignment horizontal="center"/>
    </xf>
    <xf numFmtId="0" fontId="20" fillId="6" borderId="0" xfId="2" applyFill="1" applyBorder="1"/>
    <xf numFmtId="0" fontId="20" fillId="0" borderId="0" xfId="2" applyBorder="1"/>
    <xf numFmtId="0" fontId="20" fillId="0" borderId="15" xfId="2" applyBorder="1"/>
    <xf numFmtId="0" fontId="20" fillId="2" borderId="0" xfId="2" applyFill="1" applyBorder="1"/>
    <xf numFmtId="2" fontId="20" fillId="2" borderId="0" xfId="2" applyNumberFormat="1" applyFill="1" applyBorder="1" applyAlignment="1">
      <alignment horizontal="center"/>
    </xf>
    <xf numFmtId="9" fontId="20" fillId="2" borderId="0" xfId="2" applyNumberFormat="1" applyFill="1" applyBorder="1" applyAlignment="1">
      <alignment horizontal="center"/>
    </xf>
    <xf numFmtId="0" fontId="20" fillId="0" borderId="48" xfId="1" applyNumberFormat="1" applyFont="1" applyFill="1" applyBorder="1" applyAlignment="1">
      <alignment horizontal="center"/>
    </xf>
    <xf numFmtId="1" fontId="20" fillId="6" borderId="23" xfId="2" applyNumberFormat="1" applyFill="1" applyBorder="1" applyAlignment="1">
      <alignment horizontal="center"/>
    </xf>
    <xf numFmtId="0" fontId="20" fillId="6" borderId="23" xfId="2" applyFill="1" applyBorder="1"/>
    <xf numFmtId="2" fontId="20" fillId="6" borderId="23" xfId="2" applyNumberFormat="1" applyFill="1" applyBorder="1" applyAlignment="1">
      <alignment horizontal="center"/>
    </xf>
    <xf numFmtId="0" fontId="20" fillId="0" borderId="23" xfId="2" applyBorder="1"/>
    <xf numFmtId="0" fontId="20" fillId="0" borderId="16" xfId="2" applyBorder="1"/>
    <xf numFmtId="0" fontId="11" fillId="4" borderId="26" xfId="2" applyFont="1" applyFill="1" applyBorder="1" applyAlignment="1">
      <alignment horizontal="center"/>
    </xf>
    <xf numFmtId="0" fontId="11" fillId="4" borderId="27" xfId="2" applyFont="1" applyFill="1" applyBorder="1" applyAlignment="1">
      <alignment horizontal="center"/>
    </xf>
    <xf numFmtId="9" fontId="20" fillId="2" borderId="8" xfId="3" applyFill="1" applyBorder="1"/>
    <xf numFmtId="0" fontId="20" fillId="10" borderId="28" xfId="2" applyFill="1" applyBorder="1"/>
    <xf numFmtId="0" fontId="20" fillId="10" borderId="5" xfId="2" applyFill="1" applyBorder="1"/>
    <xf numFmtId="0" fontId="20" fillId="10" borderId="6" xfId="2" applyFill="1" applyBorder="1"/>
    <xf numFmtId="9" fontId="20" fillId="2" borderId="35" xfId="3" applyFill="1" applyBorder="1"/>
    <xf numFmtId="9" fontId="20" fillId="2" borderId="9" xfId="3" applyFill="1" applyBorder="1"/>
    <xf numFmtId="9" fontId="20" fillId="11" borderId="31" xfId="2" applyNumberFormat="1" applyFill="1" applyBorder="1"/>
    <xf numFmtId="9" fontId="20" fillId="11" borderId="11" xfId="2" applyNumberFormat="1" applyFill="1" applyBorder="1"/>
    <xf numFmtId="9" fontId="20" fillId="11" borderId="12" xfId="2" applyNumberFormat="1" applyFill="1" applyBorder="1"/>
    <xf numFmtId="0" fontId="21" fillId="0" borderId="16" xfId="2" applyFont="1" applyBorder="1" applyAlignment="1">
      <alignment horizontal="center"/>
    </xf>
    <xf numFmtId="0" fontId="11" fillId="4" borderId="37" xfId="2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 vertical="center" wrapText="1"/>
    </xf>
    <xf numFmtId="0" fontId="32" fillId="5" borderId="37" xfId="0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27" fillId="0" borderId="0" xfId="2" applyFont="1" applyAlignment="1">
      <alignment horizontal="left"/>
    </xf>
    <xf numFmtId="0" fontId="35" fillId="2" borderId="0" xfId="2" applyFont="1" applyFill="1" applyAlignment="1">
      <alignment horizontal="left" vertical="top" wrapText="1"/>
    </xf>
    <xf numFmtId="0" fontId="35" fillId="2" borderId="18" xfId="2" applyFont="1" applyFill="1" applyBorder="1" applyAlignment="1">
      <alignment horizontal="left" wrapText="1"/>
    </xf>
    <xf numFmtId="0" fontId="35" fillId="2" borderId="8" xfId="2" applyFont="1" applyFill="1" applyBorder="1" applyAlignment="1">
      <alignment horizontal="left" wrapText="1"/>
    </xf>
    <xf numFmtId="0" fontId="35" fillId="2" borderId="0" xfId="2" applyFont="1" applyFill="1" applyAlignment="1">
      <alignment horizontal="left" vertical="top"/>
    </xf>
    <xf numFmtId="166" fontId="35" fillId="2" borderId="0" xfId="2" applyNumberFormat="1" applyFont="1" applyFill="1" applyAlignment="1">
      <alignment horizontal="center" wrapText="1"/>
    </xf>
    <xf numFmtId="0" fontId="21" fillId="0" borderId="0" xfId="2" applyFont="1" applyAlignment="1">
      <alignment horizontal="center" wrapText="1"/>
    </xf>
    <xf numFmtId="167" fontId="38" fillId="2" borderId="0" xfId="2" applyNumberFormat="1" applyFont="1" applyFill="1"/>
    <xf numFmtId="0" fontId="20" fillId="2" borderId="8" xfId="2" applyFill="1" applyBorder="1" applyAlignment="1" applyProtection="1">
      <alignment horizontal="left" wrapText="1"/>
      <protection locked="0"/>
    </xf>
    <xf numFmtId="9" fontId="20" fillId="2" borderId="8" xfId="2" applyNumberFormat="1" applyFill="1" applyBorder="1" applyAlignment="1" applyProtection="1">
      <alignment horizontal="center" wrapText="1"/>
      <protection locked="0"/>
    </xf>
    <xf numFmtId="0" fontId="20" fillId="2" borderId="8" xfId="2" applyFill="1" applyBorder="1" applyAlignment="1">
      <alignment horizontal="left" wrapText="1"/>
    </xf>
    <xf numFmtId="0" fontId="21" fillId="0" borderId="0" xfId="2" applyFont="1" applyBorder="1"/>
    <xf numFmtId="0" fontId="23" fillId="0" borderId="0" xfId="2" applyFont="1" applyBorder="1"/>
    <xf numFmtId="0" fontId="36" fillId="0" borderId="0" xfId="2" applyFont="1" applyBorder="1" applyAlignment="1">
      <alignment horizontal="center"/>
    </xf>
    <xf numFmtId="0" fontId="23" fillId="0" borderId="0" xfId="2" quotePrefix="1" applyFont="1" applyBorder="1"/>
    <xf numFmtId="0" fontId="35" fillId="2" borderId="0" xfId="2" applyFont="1" applyFill="1" applyBorder="1" applyAlignment="1">
      <alignment horizontal="left" vertical="top" wrapText="1"/>
    </xf>
    <xf numFmtId="0" fontId="35" fillId="2" borderId="0" xfId="2" applyFont="1" applyFill="1" applyBorder="1" applyAlignment="1">
      <alignment vertical="top" wrapText="1"/>
    </xf>
    <xf numFmtId="0" fontId="0" fillId="2" borderId="53" xfId="0" applyFill="1" applyBorder="1"/>
    <xf numFmtId="0" fontId="0" fillId="2" borderId="54" xfId="0" applyFill="1" applyBorder="1"/>
    <xf numFmtId="0" fontId="0" fillId="2" borderId="0" xfId="0" applyFill="1" applyAlignment="1">
      <alignment vertical="center"/>
    </xf>
    <xf numFmtId="0" fontId="39" fillId="2" borderId="53" xfId="0" applyFont="1" applyFill="1" applyBorder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0" fillId="2" borderId="53" xfId="0" applyFill="1" applyBorder="1" applyAlignment="1">
      <alignment wrapText="1"/>
    </xf>
    <xf numFmtId="0" fontId="35" fillId="2" borderId="0" xfId="2" applyFont="1" applyFill="1" applyAlignment="1" applyProtection="1">
      <alignment wrapText="1"/>
      <protection locked="0"/>
    </xf>
    <xf numFmtId="0" fontId="0" fillId="2" borderId="0" xfId="0" applyFill="1" applyAlignment="1">
      <alignment vertical="center" wrapText="1"/>
    </xf>
    <xf numFmtId="0" fontId="35" fillId="2" borderId="0" xfId="2" applyFont="1" applyFill="1" applyAlignment="1">
      <alignment vertical="center" wrapText="1"/>
    </xf>
    <xf numFmtId="0" fontId="0" fillId="2" borderId="52" xfId="0" applyFill="1" applyBorder="1"/>
    <xf numFmtId="0" fontId="43" fillId="5" borderId="28" xfId="0" applyFont="1" applyFill="1" applyBorder="1" applyAlignment="1">
      <alignment horizontal="center"/>
    </xf>
    <xf numFmtId="0" fontId="42" fillId="0" borderId="35" xfId="0" applyFont="1" applyBorder="1" applyAlignment="1">
      <alignment horizontal="center"/>
    </xf>
    <xf numFmtId="0" fontId="42" fillId="0" borderId="31" xfId="0" applyFont="1" applyBorder="1" applyAlignment="1">
      <alignment horizontal="center"/>
    </xf>
    <xf numFmtId="0" fontId="43" fillId="5" borderId="58" xfId="0" applyFont="1" applyFill="1" applyBorder="1" applyAlignment="1">
      <alignment horizontal="center"/>
    </xf>
    <xf numFmtId="0" fontId="0" fillId="0" borderId="39" xfId="0" applyBorder="1"/>
    <xf numFmtId="0" fontId="0" fillId="0" borderId="48" xfId="0" applyBorder="1"/>
    <xf numFmtId="0" fontId="20" fillId="0" borderId="43" xfId="2" applyBorder="1"/>
    <xf numFmtId="0" fontId="20" fillId="0" borderId="42" xfId="2" applyBorder="1"/>
    <xf numFmtId="0" fontId="20" fillId="0" borderId="34" xfId="2" applyBorder="1"/>
    <xf numFmtId="0" fontId="20" fillId="0" borderId="53" xfId="2" applyBorder="1"/>
    <xf numFmtId="0" fontId="20" fillId="0" borderId="54" xfId="2" applyBorder="1"/>
    <xf numFmtId="0" fontId="29" fillId="5" borderId="27" xfId="2" applyFont="1" applyFill="1" applyBorder="1"/>
    <xf numFmtId="0" fontId="20" fillId="2" borderId="49" xfId="2" applyFill="1" applyBorder="1"/>
    <xf numFmtId="0" fontId="20" fillId="2" borderId="52" xfId="2" applyFill="1" applyBorder="1"/>
    <xf numFmtId="0" fontId="20" fillId="0" borderId="52" xfId="2" applyBorder="1"/>
    <xf numFmtId="0" fontId="20" fillId="0" borderId="17" xfId="2" applyBorder="1"/>
    <xf numFmtId="10" fontId="46" fillId="2" borderId="8" xfId="1" applyNumberFormat="1" applyFont="1" applyFill="1" applyBorder="1"/>
    <xf numFmtId="10" fontId="46" fillId="2" borderId="8" xfId="0" applyNumberFormat="1" applyFont="1" applyFill="1" applyBorder="1"/>
    <xf numFmtId="169" fontId="46" fillId="2" borderId="8" xfId="4" applyNumberFormat="1" applyFont="1" applyFill="1" applyBorder="1"/>
    <xf numFmtId="170" fontId="46" fillId="2" borderId="8" xfId="0" applyNumberFormat="1" applyFont="1" applyFill="1" applyBorder="1"/>
    <xf numFmtId="170" fontId="47" fillId="2" borderId="8" xfId="0" applyNumberFormat="1" applyFont="1" applyFill="1" applyBorder="1"/>
    <xf numFmtId="171" fontId="46" fillId="2" borderId="8" xfId="1" applyNumberFormat="1" applyFont="1" applyFill="1" applyBorder="1"/>
    <xf numFmtId="0" fontId="49" fillId="0" borderId="0" xfId="5"/>
    <xf numFmtId="0" fontId="51" fillId="19" borderId="8" xfId="5" applyFont="1" applyFill="1" applyBorder="1"/>
    <xf numFmtId="0" fontId="49" fillId="5" borderId="8" xfId="5" applyFill="1" applyBorder="1" applyAlignment="1">
      <alignment horizontal="center" vertical="center"/>
    </xf>
    <xf numFmtId="0" fontId="49" fillId="20" borderId="24" xfId="5" applyFill="1" applyBorder="1"/>
    <xf numFmtId="0" fontId="52" fillId="0" borderId="0" xfId="5" applyFont="1"/>
    <xf numFmtId="0" fontId="49" fillId="0" borderId="0" xfId="5" applyAlignment="1">
      <alignment horizontal="left" indent="2"/>
    </xf>
    <xf numFmtId="0" fontId="49" fillId="20" borderId="24" xfId="5" applyFill="1" applyBorder="1" applyAlignment="1">
      <alignment horizontal="center" vertical="center"/>
    </xf>
    <xf numFmtId="0" fontId="49" fillId="0" borderId="0" xfId="5" applyAlignment="1">
      <alignment horizontal="left" indent="4"/>
    </xf>
    <xf numFmtId="0" fontId="53" fillId="0" borderId="0" xfId="6" applyAlignment="1">
      <alignment horizontal="left" indent="2"/>
    </xf>
    <xf numFmtId="0" fontId="49" fillId="20" borderId="18" xfId="5" applyFill="1" applyBorder="1"/>
    <xf numFmtId="0" fontId="21" fillId="0" borderId="18" xfId="2" applyFont="1" applyBorder="1" applyAlignment="1">
      <alignment horizontal="center"/>
    </xf>
    <xf numFmtId="0" fontId="35" fillId="2" borderId="49" xfId="2" applyFont="1" applyFill="1" applyBorder="1" applyAlignment="1" applyProtection="1">
      <alignment horizontal="left" wrapText="1"/>
      <protection locked="0"/>
    </xf>
    <xf numFmtId="0" fontId="35" fillId="2" borderId="52" xfId="2" applyFont="1" applyFill="1" applyBorder="1" applyAlignment="1" applyProtection="1">
      <alignment horizontal="left" wrapText="1"/>
      <protection locked="0"/>
    </xf>
    <xf numFmtId="0" fontId="35" fillId="2" borderId="17" xfId="2" applyFont="1" applyFill="1" applyBorder="1" applyAlignment="1" applyProtection="1">
      <alignment horizontal="left" wrapText="1"/>
      <protection locked="0"/>
    </xf>
    <xf numFmtId="0" fontId="20" fillId="2" borderId="8" xfId="2" applyFill="1" applyBorder="1" applyAlignment="1" applyProtection="1">
      <alignment horizontal="center" wrapText="1"/>
      <protection locked="0"/>
    </xf>
    <xf numFmtId="0" fontId="20" fillId="2" borderId="0" xfId="7" applyFill="1"/>
    <xf numFmtId="0" fontId="21" fillId="2" borderId="0" xfId="7" applyFont="1" applyFill="1" applyAlignment="1">
      <alignment horizontal="center"/>
    </xf>
    <xf numFmtId="0" fontId="57" fillId="2" borderId="8" xfId="7" applyFont="1" applyFill="1" applyBorder="1" applyAlignment="1">
      <alignment horizontal="center" vertical="center" wrapText="1"/>
    </xf>
    <xf numFmtId="0" fontId="20" fillId="2" borderId="0" xfId="7" applyFill="1" applyAlignment="1">
      <alignment wrapText="1"/>
    </xf>
    <xf numFmtId="0" fontId="20" fillId="2" borderId="8" xfId="7" applyFill="1" applyBorder="1"/>
    <xf numFmtId="0" fontId="27" fillId="5" borderId="8" xfId="7" applyFont="1" applyFill="1" applyBorder="1" applyAlignment="1">
      <alignment horizontal="center" vertical="center" wrapText="1"/>
    </xf>
    <xf numFmtId="0" fontId="27" fillId="5" borderId="8" xfId="7" applyFont="1" applyFill="1" applyBorder="1" applyAlignment="1">
      <alignment horizontal="center" vertical="center"/>
    </xf>
    <xf numFmtId="0" fontId="56" fillId="2" borderId="8" xfId="7" applyFont="1" applyFill="1" applyBorder="1"/>
    <xf numFmtId="0" fontId="27" fillId="5" borderId="8" xfId="7" applyFont="1" applyFill="1" applyBorder="1" applyAlignment="1">
      <alignment horizontal="center"/>
    </xf>
    <xf numFmtId="172" fontId="56" fillId="2" borderId="8" xfId="7" applyNumberFormat="1" applyFont="1" applyFill="1" applyBorder="1"/>
    <xf numFmtId="0" fontId="27" fillId="21" borderId="8" xfId="7" applyFont="1" applyFill="1" applyBorder="1" applyAlignment="1">
      <alignment horizontal="center" vertical="center" wrapText="1"/>
    </xf>
    <xf numFmtId="0" fontId="59" fillId="5" borderId="8" xfId="0" applyFont="1" applyFill="1" applyBorder="1" applyAlignment="1">
      <alignment horizontal="center"/>
    </xf>
    <xf numFmtId="0" fontId="59" fillId="5" borderId="8" xfId="0" applyFont="1" applyFill="1" applyBorder="1" applyAlignment="1">
      <alignment horizontal="center" vertical="center"/>
    </xf>
    <xf numFmtId="0" fontId="46" fillId="5" borderId="8" xfId="0" applyFont="1" applyFill="1" applyBorder="1" applyAlignment="1">
      <alignment horizontal="center"/>
    </xf>
    <xf numFmtId="0" fontId="60" fillId="5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0" fillId="0" borderId="0" xfId="2" applyFill="1" applyBorder="1"/>
    <xf numFmtId="0" fontId="20" fillId="0" borderId="8" xfId="2" applyBorder="1" applyAlignment="1" applyProtection="1">
      <alignment horizontal="center"/>
      <protection locked="0"/>
    </xf>
    <xf numFmtId="0" fontId="62" fillId="0" borderId="8" xfId="2" applyFont="1" applyBorder="1" applyAlignment="1">
      <alignment horizontal="center"/>
    </xf>
    <xf numFmtId="0" fontId="21" fillId="0" borderId="53" xfId="2" applyFont="1" applyBorder="1"/>
    <xf numFmtId="0" fontId="35" fillId="2" borderId="54" xfId="2" applyFont="1" applyFill="1" applyBorder="1" applyAlignment="1">
      <alignment horizontal="left" vertical="top" wrapText="1"/>
    </xf>
    <xf numFmtId="0" fontId="20" fillId="0" borderId="54" xfId="2" applyFill="1" applyBorder="1"/>
    <xf numFmtId="0" fontId="20" fillId="0" borderId="49" xfId="2" applyBorder="1"/>
    <xf numFmtId="0" fontId="21" fillId="24" borderId="18" xfId="2" applyFont="1" applyFill="1" applyBorder="1" applyAlignment="1">
      <alignment horizontal="center"/>
    </xf>
    <xf numFmtId="0" fontId="20" fillId="24" borderId="8" xfId="2" applyFill="1" applyBorder="1" applyAlignment="1">
      <alignment horizontal="center"/>
    </xf>
    <xf numFmtId="0" fontId="35" fillId="0" borderId="0" xfId="2" applyFont="1" applyFill="1" applyBorder="1" applyAlignment="1" applyProtection="1">
      <alignment horizontal="left" vertical="top"/>
      <protection locked="0"/>
    </xf>
    <xf numFmtId="0" fontId="35" fillId="0" borderId="54" xfId="2" applyFont="1" applyFill="1" applyBorder="1" applyAlignment="1" applyProtection="1">
      <alignment horizontal="left" vertical="top"/>
      <protection locked="0"/>
    </xf>
    <xf numFmtId="0" fontId="67" fillId="0" borderId="0" xfId="0" applyFont="1"/>
    <xf numFmtId="175" fontId="70" fillId="21" borderId="65" xfId="0" applyNumberFormat="1" applyFont="1" applyFill="1" applyBorder="1" applyAlignment="1">
      <alignment horizontal="center" vertical="center"/>
    </xf>
    <xf numFmtId="175" fontId="70" fillId="21" borderId="66" xfId="0" applyNumberFormat="1" applyFont="1" applyFill="1" applyBorder="1" applyAlignment="1">
      <alignment horizontal="center" vertical="center"/>
    </xf>
    <xf numFmtId="0" fontId="71" fillId="25" borderId="63" xfId="0" applyFont="1" applyFill="1" applyBorder="1" applyAlignment="1">
      <alignment horizontal="center" vertical="center" wrapText="1"/>
    </xf>
    <xf numFmtId="0" fontId="73" fillId="0" borderId="6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1" fillId="0" borderId="0" xfId="0" applyFont="1" applyAlignment="1">
      <alignment horizontal="center"/>
    </xf>
    <xf numFmtId="0" fontId="69" fillId="0" borderId="0" xfId="12" applyFont="1" applyAlignment="1" applyProtection="1"/>
    <xf numFmtId="0" fontId="0" fillId="0" borderId="0" xfId="0" applyBorder="1"/>
    <xf numFmtId="175" fontId="70" fillId="21" borderId="0" xfId="0" applyNumberFormat="1" applyFont="1" applyFill="1" applyBorder="1" applyAlignment="1">
      <alignment horizontal="center" vertical="center"/>
    </xf>
    <xf numFmtId="175" fontId="70" fillId="21" borderId="15" xfId="0" applyNumberFormat="1" applyFont="1" applyFill="1" applyBorder="1" applyAlignment="1">
      <alignment horizontal="center" vertical="center"/>
    </xf>
    <xf numFmtId="0" fontId="73" fillId="0" borderId="69" xfId="0" applyFont="1" applyBorder="1" applyAlignment="1">
      <alignment horizontal="center" vertical="center"/>
    </xf>
    <xf numFmtId="0" fontId="72" fillId="23" borderId="71" xfId="0" applyFont="1" applyFill="1" applyBorder="1" applyAlignment="1">
      <alignment horizontal="center" vertical="center" shrinkToFit="1"/>
    </xf>
    <xf numFmtId="0" fontId="72" fillId="23" borderId="72" xfId="0" applyFont="1" applyFill="1" applyBorder="1" applyAlignment="1">
      <alignment horizontal="center" vertical="center" shrinkToFit="1"/>
    </xf>
    <xf numFmtId="0" fontId="0" fillId="21" borderId="8" xfId="0" applyFill="1" applyBorder="1" applyAlignment="1">
      <alignment vertical="center"/>
    </xf>
    <xf numFmtId="0" fontId="0" fillId="21" borderId="8" xfId="0" applyFill="1" applyBorder="1" applyAlignment="1">
      <alignment horizontal="right" vertical="center"/>
    </xf>
    <xf numFmtId="0" fontId="66" fillId="2" borderId="0" xfId="0" applyFont="1" applyFill="1" applyBorder="1"/>
    <xf numFmtId="0" fontId="66" fillId="2" borderId="0" xfId="0" applyFont="1" applyFill="1" applyBorder="1" applyAlignment="1">
      <alignment horizontal="center"/>
    </xf>
    <xf numFmtId="0" fontId="66" fillId="2" borderId="0" xfId="0" applyFont="1" applyFill="1" applyBorder="1" applyAlignment="1">
      <alignment horizontal="center" vertical="center"/>
    </xf>
    <xf numFmtId="0" fontId="67" fillId="2" borderId="0" xfId="0" applyFont="1" applyFill="1" applyBorder="1"/>
    <xf numFmtId="0" fontId="0" fillId="2" borderId="0" xfId="0" applyFill="1" applyBorder="1"/>
    <xf numFmtId="0" fontId="0" fillId="2" borderId="15" xfId="0" applyFill="1" applyBorder="1"/>
    <xf numFmtId="0" fontId="69" fillId="2" borderId="0" xfId="12" applyFont="1" applyFill="1" applyBorder="1" applyProtection="1">
      <alignment vertical="top"/>
    </xf>
    <xf numFmtId="0" fontId="0" fillId="2" borderId="13" xfId="0" applyFill="1" applyBorder="1"/>
    <xf numFmtId="0" fontId="19" fillId="12" borderId="8" xfId="14" applyFill="1" applyBorder="1">
      <alignment horizontal="center" vertical="center"/>
    </xf>
    <xf numFmtId="0" fontId="1" fillId="12" borderId="35" xfId="15" applyFont="1" applyFill="1" applyBorder="1">
      <alignment horizontal="left" vertical="center" indent="2"/>
    </xf>
    <xf numFmtId="0" fontId="19" fillId="12" borderId="11" xfId="14" applyFill="1" applyBorder="1">
      <alignment horizontal="center" vertical="center"/>
    </xf>
    <xf numFmtId="0" fontId="64" fillId="5" borderId="70" xfId="8" applyFont="1" applyFill="1" applyBorder="1" applyAlignment="1">
      <alignment horizontal="center" vertical="center"/>
    </xf>
    <xf numFmtId="0" fontId="1" fillId="21" borderId="8" xfId="10" applyFont="1" applyFill="1" applyBorder="1" applyAlignment="1">
      <alignment horizontal="center" vertical="center" wrapText="1"/>
    </xf>
    <xf numFmtId="0" fontId="77" fillId="21" borderId="35" xfId="9" applyFont="1" applyFill="1" applyBorder="1" applyAlignment="1">
      <alignment horizontal="center" vertical="center"/>
    </xf>
    <xf numFmtId="0" fontId="77" fillId="21" borderId="35" xfId="13" applyFont="1" applyFill="1" applyBorder="1" applyAlignment="1">
      <alignment horizontal="center" vertical="center"/>
    </xf>
    <xf numFmtId="0" fontId="79" fillId="12" borderId="35" xfId="0" applyFont="1" applyFill="1" applyBorder="1" applyAlignment="1">
      <alignment horizontal="left" vertical="center" indent="1"/>
    </xf>
    <xf numFmtId="0" fontId="76" fillId="12" borderId="35" xfId="15" applyFont="1" applyFill="1" applyBorder="1">
      <alignment horizontal="left" vertical="center" indent="2"/>
    </xf>
    <xf numFmtId="0" fontId="79" fillId="12" borderId="35" xfId="15" applyFont="1" applyFill="1" applyBorder="1">
      <alignment horizontal="left" vertical="center" indent="2"/>
    </xf>
    <xf numFmtId="0" fontId="1" fillId="12" borderId="31" xfId="15" applyFont="1" applyFill="1" applyBorder="1" applyAlignment="1">
      <alignment horizontal="left" vertical="center" wrapText="1" indent="2"/>
    </xf>
    <xf numFmtId="176" fontId="31" fillId="12" borderId="8" xfId="0" applyNumberFormat="1" applyFont="1" applyFill="1" applyBorder="1" applyAlignment="1">
      <alignment horizontal="center" vertical="center"/>
    </xf>
    <xf numFmtId="176" fontId="31" fillId="12" borderId="8" xfId="16" applyNumberFormat="1" applyFont="1" applyFill="1" applyBorder="1">
      <alignment horizontal="center" vertical="center"/>
    </xf>
    <xf numFmtId="176" fontId="31" fillId="12" borderId="11" xfId="16" applyNumberFormat="1" applyFont="1" applyFill="1" applyBorder="1">
      <alignment horizontal="center" vertical="center"/>
    </xf>
    <xf numFmtId="9" fontId="81" fillId="12" borderId="8" xfId="1" applyFont="1" applyFill="1" applyBorder="1" applyAlignment="1">
      <alignment horizontal="center" vertical="center"/>
    </xf>
    <xf numFmtId="9" fontId="81" fillId="12" borderId="11" xfId="1" applyFont="1" applyFill="1" applyBorder="1" applyAlignment="1">
      <alignment horizontal="center" vertical="center"/>
    </xf>
    <xf numFmtId="0" fontId="76" fillId="12" borderId="8" xfId="14" applyFont="1" applyFill="1" applyBorder="1">
      <alignment horizontal="center" vertical="center"/>
    </xf>
    <xf numFmtId="0" fontId="65" fillId="2" borderId="18" xfId="0" applyFont="1" applyFill="1" applyBorder="1" applyAlignment="1">
      <alignment horizontal="left"/>
    </xf>
    <xf numFmtId="0" fontId="0" fillId="2" borderId="39" xfId="0" applyFill="1" applyBorder="1"/>
    <xf numFmtId="0" fontId="27" fillId="17" borderId="8" xfId="7" applyFont="1" applyFill="1" applyBorder="1" applyAlignment="1">
      <alignment horizontal="center" vertical="center" wrapText="1"/>
    </xf>
    <xf numFmtId="0" fontId="27" fillId="17" borderId="8" xfId="7" applyFont="1" applyFill="1" applyBorder="1" applyAlignment="1">
      <alignment horizontal="center" vertical="center"/>
    </xf>
    <xf numFmtId="0" fontId="56" fillId="17" borderId="8" xfId="7" applyFont="1" applyFill="1" applyBorder="1" applyAlignment="1">
      <alignment horizontal="center" vertical="center" wrapText="1"/>
    </xf>
    <xf numFmtId="0" fontId="56" fillId="17" borderId="8" xfId="7" applyFont="1" applyFill="1" applyBorder="1" applyAlignment="1">
      <alignment horizontal="center" vertical="center"/>
    </xf>
    <xf numFmtId="0" fontId="41" fillId="25" borderId="28" xfId="0" applyFont="1" applyFill="1" applyBorder="1" applyAlignment="1">
      <alignment horizontal="center" vertical="center"/>
    </xf>
    <xf numFmtId="0" fontId="48" fillId="25" borderId="5" xfId="0" applyFont="1" applyFill="1" applyBorder="1" applyAlignment="1">
      <alignment horizontal="center" vertical="center" wrapText="1"/>
    </xf>
    <xf numFmtId="0" fontId="78" fillId="25" borderId="5" xfId="0" applyFont="1" applyFill="1" applyBorder="1" applyAlignment="1">
      <alignment horizontal="center" vertical="center" wrapText="1"/>
    </xf>
    <xf numFmtId="0" fontId="78" fillId="25" borderId="6" xfId="0" applyFont="1" applyFill="1" applyBorder="1" applyAlignment="1">
      <alignment horizontal="center" vertical="center" wrapText="1"/>
    </xf>
    <xf numFmtId="176" fontId="80" fillId="12" borderId="9" xfId="0" applyNumberFormat="1" applyFont="1" applyFill="1" applyBorder="1" applyAlignment="1">
      <alignment horizontal="center" vertical="center"/>
    </xf>
    <xf numFmtId="176" fontId="31" fillId="12" borderId="9" xfId="16" applyNumberFormat="1" applyFont="1" applyFill="1" applyBorder="1">
      <alignment horizontal="center" vertical="center"/>
    </xf>
    <xf numFmtId="0" fontId="77" fillId="12" borderId="35" xfId="15" applyFont="1" applyFill="1" applyBorder="1" applyAlignment="1">
      <alignment horizontal="left" vertical="center" wrapText="1" indent="2"/>
    </xf>
    <xf numFmtId="176" fontId="31" fillId="12" borderId="12" xfId="16" applyNumberFormat="1" applyFont="1" applyFill="1" applyBorder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0" fontId="13" fillId="2" borderId="19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18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left" vertical="center" wrapText="1"/>
    </xf>
    <xf numFmtId="0" fontId="15" fillId="2" borderId="18" xfId="0" applyFont="1" applyFill="1" applyBorder="1" applyAlignment="1">
      <alignment horizontal="left" vertical="center" wrapText="1"/>
    </xf>
    <xf numFmtId="0" fontId="10" fillId="4" borderId="8" xfId="0" applyFont="1" applyFill="1" applyBorder="1" applyAlignment="1">
      <alignment horizontal="center" vertical="center" textRotation="90" wrapText="1"/>
    </xf>
    <xf numFmtId="0" fontId="12" fillId="2" borderId="8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0" fontId="6" fillId="4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9" fillId="4" borderId="8" xfId="0" applyFont="1" applyFill="1" applyBorder="1" applyAlignment="1">
      <alignment horizontal="center" vertical="center" textRotation="90" wrapText="1"/>
    </xf>
    <xf numFmtId="0" fontId="15" fillId="2" borderId="19" xfId="0" applyFont="1" applyFill="1" applyBorder="1" applyAlignment="1">
      <alignment horizontal="left" vertical="top" wrapText="1"/>
    </xf>
    <xf numFmtId="0" fontId="15" fillId="2" borderId="18" xfId="0" applyFont="1" applyFill="1" applyBorder="1" applyAlignment="1">
      <alignment horizontal="left" vertical="top" wrapText="1"/>
    </xf>
    <xf numFmtId="0" fontId="10" fillId="4" borderId="19" xfId="0" applyFont="1" applyFill="1" applyBorder="1" applyAlignment="1">
      <alignment horizontal="center" vertical="center" textRotation="90" wrapText="1"/>
    </xf>
    <xf numFmtId="0" fontId="12" fillId="2" borderId="19" xfId="0" applyFont="1" applyFill="1" applyBorder="1" applyAlignment="1">
      <alignment horizontal="center" vertical="top" wrapText="1"/>
    </xf>
    <xf numFmtId="0" fontId="12" fillId="2" borderId="24" xfId="0" applyFont="1" applyFill="1" applyBorder="1" applyAlignment="1">
      <alignment horizontal="center" vertical="top" wrapText="1"/>
    </xf>
    <xf numFmtId="0" fontId="12" fillId="2" borderId="18" xfId="0" applyFont="1" applyFill="1" applyBorder="1" applyAlignment="1">
      <alignment horizontal="center" vertical="top" wrapText="1"/>
    </xf>
    <xf numFmtId="0" fontId="18" fillId="4" borderId="8" xfId="0" applyFont="1" applyFill="1" applyBorder="1" applyAlignment="1">
      <alignment horizontal="center" vertical="center" textRotation="90" wrapText="1"/>
    </xf>
    <xf numFmtId="0" fontId="17" fillId="2" borderId="8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left" vertical="top" wrapText="1"/>
    </xf>
    <xf numFmtId="0" fontId="10" fillId="4" borderId="24" xfId="0" applyFont="1" applyFill="1" applyBorder="1" applyAlignment="1">
      <alignment horizontal="center" vertical="center" textRotation="90" wrapText="1"/>
    </xf>
    <xf numFmtId="0" fontId="10" fillId="4" borderId="18" xfId="0" applyFont="1" applyFill="1" applyBorder="1" applyAlignment="1">
      <alignment horizontal="center" vertical="center" textRotation="90" wrapText="1"/>
    </xf>
    <xf numFmtId="0" fontId="50" fillId="4" borderId="8" xfId="5" applyFont="1" applyFill="1" applyBorder="1" applyAlignment="1">
      <alignment horizontal="center" vertical="center"/>
    </xf>
    <xf numFmtId="0" fontId="51" fillId="19" borderId="39" xfId="5" applyFont="1" applyFill="1" applyBorder="1" applyAlignment="1">
      <alignment horizontal="center"/>
    </xf>
    <xf numFmtId="0" fontId="51" fillId="19" borderId="41" xfId="5" applyFont="1" applyFill="1" applyBorder="1" applyAlignment="1">
      <alignment horizontal="center"/>
    </xf>
    <xf numFmtId="0" fontId="54" fillId="18" borderId="8" xfId="5" applyFont="1" applyFill="1" applyBorder="1" applyAlignment="1">
      <alignment horizontal="center" vertical="center"/>
    </xf>
    <xf numFmtId="0" fontId="49" fillId="21" borderId="8" xfId="5" applyFill="1" applyBorder="1" applyAlignment="1">
      <alignment horizontal="center"/>
    </xf>
    <xf numFmtId="0" fontId="22" fillId="5" borderId="1" xfId="2" applyFont="1" applyFill="1" applyBorder="1" applyAlignment="1">
      <alignment horizontal="center" vertical="center" textRotation="90"/>
    </xf>
    <xf numFmtId="0" fontId="22" fillId="5" borderId="2" xfId="2" applyFont="1" applyFill="1" applyBorder="1" applyAlignment="1">
      <alignment horizontal="center" vertical="center" textRotation="90"/>
    </xf>
    <xf numFmtId="0" fontId="22" fillId="5" borderId="3" xfId="2" applyFont="1" applyFill="1" applyBorder="1" applyAlignment="1">
      <alignment horizontal="center" vertical="center" textRotation="90"/>
    </xf>
    <xf numFmtId="0" fontId="26" fillId="4" borderId="8" xfId="2" applyFont="1" applyFill="1" applyBorder="1" applyAlignment="1">
      <alignment horizontal="center"/>
    </xf>
    <xf numFmtId="0" fontId="26" fillId="4" borderId="28" xfId="2" applyFont="1" applyFill="1" applyBorder="1" applyAlignment="1">
      <alignment horizontal="center" vertical="center"/>
    </xf>
    <xf numFmtId="0" fontId="26" fillId="4" borderId="5" xfId="2" applyFont="1" applyFill="1" applyBorder="1" applyAlignment="1">
      <alignment horizontal="center" vertical="center"/>
    </xf>
    <xf numFmtId="0" fontId="26" fillId="4" borderId="6" xfId="2" applyFont="1" applyFill="1" applyBorder="1" applyAlignment="1">
      <alignment horizontal="center" vertical="center"/>
    </xf>
    <xf numFmtId="0" fontId="24" fillId="6" borderId="19" xfId="2" applyFont="1" applyFill="1" applyBorder="1" applyAlignment="1">
      <alignment horizontal="center"/>
    </xf>
    <xf numFmtId="0" fontId="24" fillId="6" borderId="47" xfId="2" applyFont="1" applyFill="1" applyBorder="1" applyAlignment="1">
      <alignment horizontal="center"/>
    </xf>
    <xf numFmtId="0" fontId="26" fillId="4" borderId="46" xfId="2" applyFont="1" applyFill="1" applyBorder="1" applyAlignment="1">
      <alignment horizontal="center" vertical="top"/>
    </xf>
    <xf numFmtId="0" fontId="26" fillId="4" borderId="19" xfId="2" applyFont="1" applyFill="1" applyBorder="1" applyAlignment="1">
      <alignment horizontal="center" vertical="top"/>
    </xf>
    <xf numFmtId="0" fontId="20" fillId="6" borderId="19" xfId="1" applyNumberFormat="1" applyFont="1" applyFill="1" applyBorder="1" applyAlignment="1">
      <alignment horizontal="center"/>
    </xf>
    <xf numFmtId="0" fontId="25" fillId="5" borderId="46" xfId="2" applyFont="1" applyFill="1" applyBorder="1" applyAlignment="1">
      <alignment horizontal="center" vertical="top"/>
    </xf>
    <xf numFmtId="0" fontId="25" fillId="5" borderId="8" xfId="2" applyFont="1" applyFill="1" applyBorder="1" applyAlignment="1">
      <alignment horizontal="center" vertical="top"/>
    </xf>
    <xf numFmtId="0" fontId="25" fillId="5" borderId="9" xfId="2" applyFont="1" applyFill="1" applyBorder="1" applyAlignment="1">
      <alignment horizontal="center" vertical="top"/>
    </xf>
    <xf numFmtId="0" fontId="45" fillId="4" borderId="8" xfId="2" applyFont="1" applyFill="1" applyBorder="1" applyAlignment="1">
      <alignment horizontal="center"/>
    </xf>
    <xf numFmtId="0" fontId="33" fillId="4" borderId="38" xfId="0" applyFont="1" applyFill="1" applyBorder="1" applyAlignment="1">
      <alignment horizontal="center" vertical="center"/>
    </xf>
    <xf numFmtId="0" fontId="33" fillId="4" borderId="50" xfId="0" applyFont="1" applyFill="1" applyBorder="1" applyAlignment="1">
      <alignment horizontal="center" vertical="center"/>
    </xf>
    <xf numFmtId="0" fontId="33" fillId="4" borderId="51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/>
    </xf>
    <xf numFmtId="0" fontId="32" fillId="10" borderId="3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 vertical="center"/>
    </xf>
    <xf numFmtId="0" fontId="32" fillId="14" borderId="3" xfId="0" applyFont="1" applyFill="1" applyBorder="1" applyAlignment="1">
      <alignment horizontal="center" vertical="center"/>
    </xf>
    <xf numFmtId="0" fontId="32" fillId="15" borderId="1" xfId="0" applyFont="1" applyFill="1" applyBorder="1" applyAlignment="1">
      <alignment horizontal="center" vertical="center"/>
    </xf>
    <xf numFmtId="0" fontId="32" fillId="15" borderId="3" xfId="0" applyFont="1" applyFill="1" applyBorder="1" applyAlignment="1">
      <alignment horizontal="center" vertical="center"/>
    </xf>
    <xf numFmtId="0" fontId="32" fillId="16" borderId="1" xfId="0" applyFont="1" applyFill="1" applyBorder="1" applyAlignment="1">
      <alignment horizontal="center" vertical="center"/>
    </xf>
    <xf numFmtId="0" fontId="32" fillId="16" borderId="3" xfId="0" applyFont="1" applyFill="1" applyBorder="1" applyAlignment="1">
      <alignment horizontal="center" vertical="center"/>
    </xf>
    <xf numFmtId="0" fontId="26" fillId="13" borderId="20" xfId="0" applyFont="1" applyFill="1" applyBorder="1" applyAlignment="1">
      <alignment horizontal="center" vertical="center" wrapText="1"/>
    </xf>
    <xf numFmtId="0" fontId="26" fillId="13" borderId="22" xfId="0" applyFont="1" applyFill="1" applyBorder="1" applyAlignment="1">
      <alignment horizontal="center" vertical="center" wrapText="1"/>
    </xf>
    <xf numFmtId="0" fontId="26" fillId="13" borderId="14" xfId="0" applyFont="1" applyFill="1" applyBorder="1" applyAlignment="1">
      <alignment horizontal="center" vertical="center" wrapText="1"/>
    </xf>
    <xf numFmtId="0" fontId="26" fillId="13" borderId="16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58" fillId="4" borderId="8" xfId="7" applyFont="1" applyFill="1" applyBorder="1" applyAlignment="1">
      <alignment horizontal="center" vertical="center" wrapText="1"/>
    </xf>
    <xf numFmtId="0" fontId="55" fillId="2" borderId="8" xfId="7" applyFont="1" applyFill="1" applyBorder="1" applyAlignment="1">
      <alignment horizontal="center" vertical="center"/>
    </xf>
    <xf numFmtId="0" fontId="21" fillId="2" borderId="8" xfId="7" applyFont="1" applyFill="1" applyBorder="1" applyAlignment="1">
      <alignment horizontal="center" vertical="center"/>
    </xf>
    <xf numFmtId="0" fontId="27" fillId="21" borderId="8" xfId="7" applyFont="1" applyFill="1" applyBorder="1" applyAlignment="1">
      <alignment horizontal="center" vertical="center" wrapText="1"/>
    </xf>
    <xf numFmtId="0" fontId="20" fillId="2" borderId="8" xfId="7" applyFill="1" applyBorder="1" applyAlignment="1">
      <alignment horizontal="center" wrapText="1"/>
    </xf>
    <xf numFmtId="0" fontId="20" fillId="2" borderId="8" xfId="7" applyFill="1" applyBorder="1" applyAlignment="1">
      <alignment horizontal="center"/>
    </xf>
    <xf numFmtId="0" fontId="27" fillId="21" borderId="39" xfId="7" applyFont="1" applyFill="1" applyBorder="1" applyAlignment="1">
      <alignment horizontal="center" vertical="center" wrapText="1"/>
    </xf>
    <xf numFmtId="0" fontId="27" fillId="21" borderId="41" xfId="7" applyFont="1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7" fillId="22" borderId="8" xfId="0" applyFont="1" applyFill="1" applyBorder="1" applyAlignment="1">
      <alignment horizontal="center"/>
    </xf>
    <xf numFmtId="0" fontId="46" fillId="5" borderId="8" xfId="0" applyFont="1" applyFill="1" applyBorder="1" applyAlignment="1">
      <alignment horizontal="center" vertical="center"/>
    </xf>
    <xf numFmtId="0" fontId="46" fillId="2" borderId="8" xfId="0" applyFont="1" applyFill="1" applyBorder="1" applyAlignment="1">
      <alignment horizontal="center"/>
    </xf>
    <xf numFmtId="0" fontId="46" fillId="2" borderId="8" xfId="0" applyFont="1" applyFill="1" applyBorder="1" applyAlignment="1">
      <alignment horizontal="center" vertical="center" wrapText="1"/>
    </xf>
    <xf numFmtId="0" fontId="48" fillId="4" borderId="8" xfId="0" applyFont="1" applyFill="1" applyBorder="1" applyAlignment="1">
      <alignment horizontal="center"/>
    </xf>
    <xf numFmtId="0" fontId="46" fillId="4" borderId="8" xfId="0" applyFont="1" applyFill="1" applyBorder="1" applyAlignment="1">
      <alignment horizontal="center"/>
    </xf>
    <xf numFmtId="0" fontId="46" fillId="2" borderId="19" xfId="0" applyFont="1" applyFill="1" applyBorder="1" applyAlignment="1">
      <alignment horizontal="center"/>
    </xf>
    <xf numFmtId="0" fontId="46" fillId="2" borderId="24" xfId="0" applyFont="1" applyFill="1" applyBorder="1" applyAlignment="1">
      <alignment horizontal="center"/>
    </xf>
    <xf numFmtId="0" fontId="46" fillId="2" borderId="18" xfId="0" applyFont="1" applyFill="1" applyBorder="1" applyAlignment="1">
      <alignment horizontal="center"/>
    </xf>
    <xf numFmtId="0" fontId="46" fillId="2" borderId="39" xfId="0" applyFont="1" applyFill="1" applyBorder="1" applyAlignment="1">
      <alignment horizontal="center"/>
    </xf>
    <xf numFmtId="0" fontId="46" fillId="2" borderId="40" xfId="0" applyFont="1" applyFill="1" applyBorder="1" applyAlignment="1">
      <alignment horizontal="center"/>
    </xf>
    <xf numFmtId="0" fontId="46" fillId="2" borderId="4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0" fontId="26" fillId="23" borderId="8" xfId="0" applyFont="1" applyFill="1" applyBorder="1" applyAlignment="1">
      <alignment horizontal="center" vertical="center"/>
    </xf>
    <xf numFmtId="0" fontId="59" fillId="5" borderId="8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45" xfId="0" applyBorder="1" applyAlignment="1">
      <alignment horizontal="center"/>
    </xf>
    <xf numFmtId="0" fontId="44" fillId="4" borderId="38" xfId="0" applyFont="1" applyFill="1" applyBorder="1" applyAlignment="1">
      <alignment horizontal="center"/>
    </xf>
    <xf numFmtId="0" fontId="44" fillId="4" borderId="50" xfId="0" applyFont="1" applyFill="1" applyBorder="1" applyAlignment="1">
      <alignment horizontal="center"/>
    </xf>
    <xf numFmtId="0" fontId="44" fillId="4" borderId="51" xfId="0" applyFont="1" applyFill="1" applyBorder="1" applyAlignment="1">
      <alignment horizontal="center"/>
    </xf>
    <xf numFmtId="0" fontId="43" fillId="5" borderId="58" xfId="0" applyFont="1" applyFill="1" applyBorder="1" applyAlignment="1">
      <alignment horizontal="center"/>
    </xf>
    <xf numFmtId="0" fontId="43" fillId="5" borderId="60" xfId="0" applyFont="1" applyFill="1" applyBorder="1" applyAlignment="1">
      <alignment horizontal="center"/>
    </xf>
    <xf numFmtId="0" fontId="43" fillId="5" borderId="44" xfId="0" applyFont="1" applyFill="1" applyBorder="1" applyAlignment="1">
      <alignment horizontal="center"/>
    </xf>
    <xf numFmtId="0" fontId="0" fillId="2" borderId="13" xfId="0" applyFill="1" applyBorder="1"/>
    <xf numFmtId="0" fontId="0" fillId="2" borderId="0" xfId="0" applyFill="1" applyBorder="1"/>
    <xf numFmtId="0" fontId="74" fillId="22" borderId="38" xfId="0" applyFont="1" applyFill="1" applyBorder="1" applyAlignment="1">
      <alignment horizontal="center" vertical="center"/>
    </xf>
    <xf numFmtId="0" fontId="74" fillId="22" borderId="50" xfId="0" applyFont="1" applyFill="1" applyBorder="1" applyAlignment="1">
      <alignment horizontal="center" vertical="center"/>
    </xf>
    <xf numFmtId="0" fontId="74" fillId="22" borderId="51" xfId="0" applyFont="1" applyFill="1" applyBorder="1" applyAlignment="1">
      <alignment horizontal="center" vertical="center"/>
    </xf>
    <xf numFmtId="0" fontId="75" fillId="2" borderId="8" xfId="0" applyFont="1" applyFill="1" applyBorder="1" applyAlignment="1">
      <alignment horizontal="center" vertical="center"/>
    </xf>
    <xf numFmtId="0" fontId="1" fillId="21" borderId="8" xfId="10" applyFont="1" applyFill="1" applyBorder="1" applyAlignment="1">
      <alignment horizontal="center" vertical="center" wrapText="1"/>
    </xf>
    <xf numFmtId="173" fontId="76" fillId="2" borderId="42" xfId="11" applyFont="1" applyFill="1" applyBorder="1">
      <alignment horizontal="center" vertical="center"/>
    </xf>
    <xf numFmtId="173" fontId="76" fillId="2" borderId="34" xfId="11" applyFont="1" applyFill="1" applyBorder="1">
      <alignment horizontal="center" vertical="center"/>
    </xf>
    <xf numFmtId="173" fontId="76" fillId="2" borderId="52" xfId="11" applyFont="1" applyFill="1" applyBorder="1">
      <alignment horizontal="center" vertical="center"/>
    </xf>
    <xf numFmtId="173" fontId="76" fillId="2" borderId="17" xfId="11" applyFont="1" applyFill="1" applyBorder="1">
      <alignment horizontal="center" vertical="center"/>
    </xf>
    <xf numFmtId="174" fontId="0" fillId="21" borderId="62" xfId="0" applyNumberFormat="1" applyFill="1" applyBorder="1" applyAlignment="1">
      <alignment horizontal="left" vertical="center" wrapText="1" indent="1"/>
    </xf>
    <xf numFmtId="174" fontId="0" fillId="21" borderId="63" xfId="0" applyNumberFormat="1" applyFill="1" applyBorder="1" applyAlignment="1">
      <alignment horizontal="left" vertical="center" wrapText="1" indent="1"/>
    </xf>
    <xf numFmtId="174" fontId="0" fillId="21" borderId="64" xfId="0" applyNumberFormat="1" applyFill="1" applyBorder="1" applyAlignment="1">
      <alignment horizontal="left" vertical="center" wrapText="1" indent="1"/>
    </xf>
    <xf numFmtId="174" fontId="0" fillId="21" borderId="68" xfId="0" applyNumberFormat="1" applyFill="1" applyBorder="1" applyAlignment="1">
      <alignment horizontal="left" vertical="center" wrapText="1" indent="1"/>
    </xf>
    <xf numFmtId="0" fontId="45" fillId="4" borderId="8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45" fillId="2" borderId="8" xfId="0" applyFont="1" applyFill="1" applyBorder="1" applyAlignment="1">
      <alignment horizontal="center"/>
    </xf>
    <xf numFmtId="0" fontId="60" fillId="5" borderId="8" xfId="0" applyFont="1" applyFill="1" applyBorder="1" applyAlignment="1">
      <alignment horizontal="center"/>
    </xf>
    <xf numFmtId="0" fontId="45" fillId="23" borderId="8" xfId="0" applyFont="1" applyFill="1" applyBorder="1" applyAlignment="1">
      <alignment horizontal="center"/>
    </xf>
    <xf numFmtId="0" fontId="35" fillId="0" borderId="8" xfId="2" applyFont="1" applyFill="1" applyBorder="1" applyAlignment="1">
      <alignment horizontal="center" vertical="top" wrapText="1"/>
    </xf>
    <xf numFmtId="0" fontId="21" fillId="0" borderId="8" xfId="2" applyFont="1" applyFill="1" applyBorder="1" applyAlignment="1">
      <alignment horizontal="center" vertical="center" wrapText="1"/>
    </xf>
    <xf numFmtId="0" fontId="20" fillId="0" borderId="8" xfId="2" applyFill="1" applyBorder="1" applyAlignment="1" applyProtection="1">
      <alignment horizontal="center" wrapText="1"/>
      <protection locked="0"/>
    </xf>
    <xf numFmtId="166" fontId="37" fillId="5" borderId="55" xfId="2" applyNumberFormat="1" applyFont="1" applyFill="1" applyBorder="1" applyAlignment="1">
      <alignment horizontal="center"/>
    </xf>
    <xf numFmtId="166" fontId="37" fillId="5" borderId="56" xfId="2" applyNumberFormat="1" applyFont="1" applyFill="1" applyBorder="1" applyAlignment="1">
      <alignment horizontal="center"/>
    </xf>
    <xf numFmtId="166" fontId="37" fillId="5" borderId="55" xfId="2" applyNumberFormat="1" applyFont="1" applyFill="1" applyBorder="1" applyAlignment="1" applyProtection="1">
      <alignment horizontal="center" wrapText="1"/>
      <protection locked="0"/>
    </xf>
    <xf numFmtId="166" fontId="37" fillId="5" borderId="56" xfId="2" applyNumberFormat="1" applyFont="1" applyFill="1" applyBorder="1" applyAlignment="1" applyProtection="1">
      <alignment horizontal="center" wrapText="1"/>
      <protection locked="0"/>
    </xf>
    <xf numFmtId="0" fontId="7" fillId="22" borderId="0" xfId="2" applyFont="1" applyFill="1" applyBorder="1" applyAlignment="1">
      <alignment horizontal="center"/>
    </xf>
    <xf numFmtId="0" fontId="7" fillId="22" borderId="54" xfId="2" applyFont="1" applyFill="1" applyBorder="1" applyAlignment="1">
      <alignment horizontal="center"/>
    </xf>
    <xf numFmtId="0" fontId="20" fillId="0" borderId="8" xfId="2" applyBorder="1" applyAlignment="1">
      <alignment horizontal="center"/>
    </xf>
    <xf numFmtId="0" fontId="35" fillId="24" borderId="8" xfId="2" applyFont="1" applyFill="1" applyBorder="1" applyAlignment="1">
      <alignment horizontal="center"/>
    </xf>
    <xf numFmtId="0" fontId="7" fillId="4" borderId="8" xfId="2" applyFont="1" applyFill="1" applyBorder="1" applyAlignment="1">
      <alignment horizontal="center"/>
    </xf>
    <xf numFmtId="166" fontId="35" fillId="0" borderId="39" xfId="2" applyNumberFormat="1" applyFont="1" applyBorder="1" applyAlignment="1" applyProtection="1">
      <alignment horizontal="center"/>
      <protection locked="0"/>
    </xf>
    <xf numFmtId="166" fontId="35" fillId="0" borderId="41" xfId="2" applyNumberFormat="1" applyFont="1" applyBorder="1" applyAlignment="1" applyProtection="1">
      <alignment horizontal="center"/>
      <protection locked="0"/>
    </xf>
    <xf numFmtId="166" fontId="35" fillId="2" borderId="39" xfId="2" applyNumberFormat="1" applyFont="1" applyFill="1" applyBorder="1" applyAlignment="1" applyProtection="1">
      <alignment horizontal="center" wrapText="1"/>
      <protection locked="0"/>
    </xf>
    <xf numFmtId="166" fontId="35" fillId="2" borderId="41" xfId="2" applyNumberFormat="1" applyFont="1" applyFill="1" applyBorder="1" applyAlignment="1" applyProtection="1">
      <alignment horizontal="center" wrapText="1"/>
      <protection locked="0"/>
    </xf>
    <xf numFmtId="166" fontId="35" fillId="0" borderId="43" xfId="2" applyNumberFormat="1" applyFont="1" applyBorder="1" applyAlignment="1" applyProtection="1">
      <alignment horizontal="center"/>
      <protection locked="0"/>
    </xf>
    <xf numFmtId="166" fontId="35" fillId="0" borderId="34" xfId="2" applyNumberFormat="1" applyFont="1" applyBorder="1" applyAlignment="1" applyProtection="1">
      <alignment horizontal="center"/>
      <protection locked="0"/>
    </xf>
    <xf numFmtId="166" fontId="35" fillId="2" borderId="43" xfId="2" applyNumberFormat="1" applyFont="1" applyFill="1" applyBorder="1" applyAlignment="1" applyProtection="1">
      <alignment horizontal="center" wrapText="1"/>
      <protection locked="0"/>
    </xf>
    <xf numFmtId="166" fontId="35" fillId="2" borderId="34" xfId="2" applyNumberFormat="1" applyFont="1" applyFill="1" applyBorder="1" applyAlignment="1" applyProtection="1">
      <alignment horizontal="center" wrapText="1"/>
      <protection locked="0"/>
    </xf>
    <xf numFmtId="0" fontId="7" fillId="22" borderId="39" xfId="2" applyFont="1" applyFill="1" applyBorder="1" applyAlignment="1">
      <alignment horizontal="center"/>
    </xf>
    <xf numFmtId="0" fontId="7" fillId="22" borderId="41" xfId="2" applyFont="1" applyFill="1" applyBorder="1" applyAlignment="1">
      <alignment horizontal="center"/>
    </xf>
    <xf numFmtId="166" fontId="7" fillId="22" borderId="39" xfId="2" applyNumberFormat="1" applyFont="1" applyFill="1" applyBorder="1" applyAlignment="1" applyProtection="1">
      <alignment horizontal="center" wrapText="1"/>
      <protection locked="0"/>
    </xf>
    <xf numFmtId="166" fontId="7" fillId="22" borderId="41" xfId="2" applyNumberFormat="1" applyFont="1" applyFill="1" applyBorder="1" applyAlignment="1" applyProtection="1">
      <alignment horizontal="center" wrapText="1"/>
      <protection locked="0"/>
    </xf>
    <xf numFmtId="0" fontId="20" fillId="2" borderId="39" xfId="2" applyFill="1" applyBorder="1" applyAlignment="1">
      <alignment horizontal="center" wrapText="1"/>
    </xf>
    <xf numFmtId="0" fontId="20" fillId="2" borderId="40" xfId="2" applyFill="1" applyBorder="1" applyAlignment="1">
      <alignment horizontal="center" wrapText="1"/>
    </xf>
    <xf numFmtId="0" fontId="20" fillId="2" borderId="41" xfId="2" applyFill="1" applyBorder="1" applyAlignment="1">
      <alignment horizontal="center" wrapText="1"/>
    </xf>
    <xf numFmtId="0" fontId="35" fillId="2" borderId="39" xfId="2" applyFont="1" applyFill="1" applyBorder="1" applyAlignment="1">
      <alignment horizontal="center" vertical="top" wrapText="1"/>
    </xf>
    <xf numFmtId="0" fontId="35" fillId="2" borderId="40" xfId="2" applyFont="1" applyFill="1" applyBorder="1" applyAlignment="1">
      <alignment horizontal="center" vertical="top" wrapText="1"/>
    </xf>
    <xf numFmtId="0" fontId="35" fillId="2" borderId="41" xfId="2" applyFont="1" applyFill="1" applyBorder="1" applyAlignment="1">
      <alignment horizontal="center" vertical="top" wrapText="1"/>
    </xf>
    <xf numFmtId="0" fontId="56" fillId="5" borderId="8" xfId="2" applyFont="1" applyFill="1" applyBorder="1" applyAlignment="1">
      <alignment horizontal="center"/>
    </xf>
    <xf numFmtId="0" fontId="20" fillId="0" borderId="8" xfId="2" applyFill="1" applyBorder="1" applyAlignment="1">
      <alignment horizontal="center"/>
    </xf>
    <xf numFmtId="0" fontId="20" fillId="0" borderId="43" xfId="2" applyFill="1" applyBorder="1" applyAlignment="1">
      <alignment horizontal="center"/>
    </xf>
    <xf numFmtId="0" fontId="20" fillId="0" borderId="42" xfId="2" applyFill="1" applyBorder="1" applyAlignment="1">
      <alignment horizontal="center"/>
    </xf>
    <xf numFmtId="0" fontId="20" fillId="0" borderId="34" xfId="2" applyFill="1" applyBorder="1" applyAlignment="1">
      <alignment horizontal="center"/>
    </xf>
    <xf numFmtId="0" fontId="20" fillId="0" borderId="49" xfId="2" applyFill="1" applyBorder="1" applyAlignment="1">
      <alignment horizontal="center"/>
    </xf>
    <xf numFmtId="0" fontId="20" fillId="0" borderId="52" xfId="2" applyFill="1" applyBorder="1" applyAlignment="1">
      <alignment horizontal="center"/>
    </xf>
    <xf numFmtId="0" fontId="20" fillId="0" borderId="17" xfId="2" applyFill="1" applyBorder="1" applyAlignment="1">
      <alignment horizontal="center"/>
    </xf>
    <xf numFmtId="0" fontId="34" fillId="4" borderId="39" xfId="2" applyFont="1" applyFill="1" applyBorder="1" applyAlignment="1">
      <alignment horizontal="center" vertical="center"/>
    </xf>
    <xf numFmtId="0" fontId="34" fillId="4" borderId="40" xfId="2" applyFont="1" applyFill="1" applyBorder="1" applyAlignment="1">
      <alignment horizontal="center" vertical="center"/>
    </xf>
    <xf numFmtId="0" fontId="34" fillId="4" borderId="41" xfId="2" applyFont="1" applyFill="1" applyBorder="1" applyAlignment="1">
      <alignment horizontal="center" vertical="center"/>
    </xf>
    <xf numFmtId="166" fontId="35" fillId="0" borderId="0" xfId="2" applyNumberFormat="1" applyFont="1" applyFill="1" applyBorder="1" applyAlignment="1" applyProtection="1">
      <alignment horizontal="center"/>
      <protection locked="0"/>
    </xf>
    <xf numFmtId="166" fontId="35" fillId="0" borderId="0" xfId="2" applyNumberFormat="1" applyFont="1" applyFill="1" applyBorder="1" applyAlignment="1" applyProtection="1">
      <alignment horizontal="center" wrapText="1"/>
      <protection locked="0"/>
    </xf>
    <xf numFmtId="166" fontId="35" fillId="0" borderId="54" xfId="2" applyNumberFormat="1" applyFont="1" applyFill="1" applyBorder="1" applyAlignment="1" applyProtection="1">
      <alignment horizontal="center" wrapText="1"/>
      <protection locked="0"/>
    </xf>
    <xf numFmtId="0" fontId="34" fillId="22" borderId="39" xfId="2" applyFont="1" applyFill="1" applyBorder="1" applyAlignment="1">
      <alignment horizontal="center" vertical="center"/>
    </xf>
    <xf numFmtId="0" fontId="34" fillId="22" borderId="40" xfId="2" applyFont="1" applyFill="1" applyBorder="1" applyAlignment="1">
      <alignment horizontal="center" vertical="center"/>
    </xf>
    <xf numFmtId="0" fontId="34" fillId="22" borderId="41" xfId="2" applyFont="1" applyFill="1" applyBorder="1" applyAlignment="1">
      <alignment horizontal="center" vertical="center"/>
    </xf>
    <xf numFmtId="0" fontId="35" fillId="2" borderId="49" xfId="2" applyFont="1" applyFill="1" applyBorder="1" applyAlignment="1" applyProtection="1">
      <alignment horizontal="left" wrapText="1"/>
      <protection locked="0"/>
    </xf>
    <xf numFmtId="0" fontId="35" fillId="2" borderId="52" xfId="2" applyFont="1" applyFill="1" applyBorder="1" applyAlignment="1" applyProtection="1">
      <alignment horizontal="left" wrapText="1"/>
      <protection locked="0"/>
    </xf>
    <xf numFmtId="0" fontId="35" fillId="2" borderId="17" xfId="2" applyFont="1" applyFill="1" applyBorder="1" applyAlignment="1" applyProtection="1">
      <alignment horizontal="left" wrapText="1"/>
      <protection locked="0"/>
    </xf>
    <xf numFmtId="0" fontId="35" fillId="2" borderId="43" xfId="2" applyFont="1" applyFill="1" applyBorder="1" applyAlignment="1" applyProtection="1">
      <alignment horizontal="left" vertical="top" wrapText="1"/>
      <protection locked="0"/>
    </xf>
    <xf numFmtId="0" fontId="35" fillId="2" borderId="42" xfId="2" applyFont="1" applyFill="1" applyBorder="1" applyAlignment="1" applyProtection="1">
      <alignment horizontal="left" vertical="top" wrapText="1"/>
      <protection locked="0"/>
    </xf>
    <xf numFmtId="0" fontId="35" fillId="2" borderId="34" xfId="2" applyFont="1" applyFill="1" applyBorder="1" applyAlignment="1" applyProtection="1">
      <alignment horizontal="left" vertical="top" wrapText="1"/>
      <protection locked="0"/>
    </xf>
    <xf numFmtId="0" fontId="35" fillId="2" borderId="53" xfId="2" applyFont="1" applyFill="1" applyBorder="1" applyAlignment="1" applyProtection="1">
      <alignment horizontal="left" vertical="top" wrapText="1"/>
      <protection locked="0"/>
    </xf>
    <xf numFmtId="0" fontId="35" fillId="2" borderId="0" xfId="2" applyFont="1" applyFill="1" applyBorder="1" applyAlignment="1" applyProtection="1">
      <alignment horizontal="left" vertical="top" wrapText="1"/>
      <protection locked="0"/>
    </xf>
    <xf numFmtId="0" fontId="35" fillId="2" borderId="54" xfId="2" applyFont="1" applyFill="1" applyBorder="1" applyAlignment="1" applyProtection="1">
      <alignment horizontal="left" vertical="top" wrapText="1"/>
      <protection locked="0"/>
    </xf>
    <xf numFmtId="0" fontId="35" fillId="2" borderId="49" xfId="2" applyFont="1" applyFill="1" applyBorder="1" applyAlignment="1" applyProtection="1">
      <alignment horizontal="left" vertical="top" wrapText="1"/>
      <protection locked="0"/>
    </xf>
    <xf numFmtId="0" fontId="35" fillId="2" borderId="52" xfId="2" applyFont="1" applyFill="1" applyBorder="1" applyAlignment="1" applyProtection="1">
      <alignment horizontal="left" vertical="top" wrapText="1"/>
      <protection locked="0"/>
    </xf>
    <xf numFmtId="0" fontId="35" fillId="2" borderId="17" xfId="2" applyFont="1" applyFill="1" applyBorder="1" applyAlignment="1" applyProtection="1">
      <alignment horizontal="left" vertical="top" wrapText="1"/>
      <protection locked="0"/>
    </xf>
    <xf numFmtId="0" fontId="22" fillId="2" borderId="42" xfId="2" applyFont="1" applyFill="1" applyBorder="1" applyAlignment="1" applyProtection="1">
      <alignment horizontal="left" vertical="top" wrapText="1"/>
      <protection locked="0"/>
    </xf>
    <xf numFmtId="0" fontId="22" fillId="2" borderId="34" xfId="2" applyFont="1" applyFill="1" applyBorder="1" applyAlignment="1" applyProtection="1">
      <alignment horizontal="left" vertical="top" wrapText="1"/>
      <protection locked="0"/>
    </xf>
    <xf numFmtId="0" fontId="22" fillId="2" borderId="53" xfId="2" applyFont="1" applyFill="1" applyBorder="1" applyAlignment="1" applyProtection="1">
      <alignment horizontal="left" vertical="top" wrapText="1"/>
      <protection locked="0"/>
    </xf>
    <xf numFmtId="0" fontId="22" fillId="2" borderId="0" xfId="2" applyFont="1" applyFill="1" applyBorder="1" applyAlignment="1" applyProtection="1">
      <alignment horizontal="left" vertical="top" wrapText="1"/>
      <protection locked="0"/>
    </xf>
    <xf numFmtId="0" fontId="22" fillId="2" borderId="54" xfId="2" applyFont="1" applyFill="1" applyBorder="1" applyAlignment="1" applyProtection="1">
      <alignment horizontal="left" vertical="top" wrapText="1"/>
      <protection locked="0"/>
    </xf>
    <xf numFmtId="0" fontId="22" fillId="2" borderId="49" xfId="2" applyFont="1" applyFill="1" applyBorder="1" applyAlignment="1" applyProtection="1">
      <alignment horizontal="left" vertical="top" wrapText="1"/>
      <protection locked="0"/>
    </xf>
    <xf numFmtId="0" fontId="22" fillId="2" borderId="52" xfId="2" applyFont="1" applyFill="1" applyBorder="1" applyAlignment="1" applyProtection="1">
      <alignment horizontal="left" vertical="top" wrapText="1"/>
      <protection locked="0"/>
    </xf>
    <xf numFmtId="0" fontId="22" fillId="2" borderId="17" xfId="2" applyFont="1" applyFill="1" applyBorder="1" applyAlignment="1" applyProtection="1">
      <alignment horizontal="left" vertical="top" wrapText="1"/>
      <protection locked="0"/>
    </xf>
    <xf numFmtId="0" fontId="20" fillId="0" borderId="8" xfId="2" applyFill="1" applyBorder="1" applyAlignment="1">
      <alignment horizontal="center" wrapText="1"/>
    </xf>
    <xf numFmtId="0" fontId="22" fillId="24" borderId="8" xfId="2" applyFont="1" applyFill="1" applyBorder="1" applyAlignment="1">
      <alignment horizontal="center"/>
    </xf>
    <xf numFmtId="0" fontId="63" fillId="22" borderId="8" xfId="2" applyFont="1" applyFill="1" applyBorder="1" applyAlignment="1" applyProtection="1">
      <alignment horizontal="center" vertical="center"/>
      <protection locked="0"/>
    </xf>
    <xf numFmtId="0" fontId="35" fillId="0" borderId="0" xfId="2" applyFont="1" applyFill="1" applyBorder="1" applyAlignment="1">
      <alignment horizontal="left"/>
    </xf>
    <xf numFmtId="0" fontId="20" fillId="2" borderId="8" xfId="2" applyFill="1" applyBorder="1" applyAlignment="1">
      <alignment horizontal="center" wrapText="1"/>
    </xf>
    <xf numFmtId="0" fontId="20" fillId="2" borderId="8" xfId="2" applyFill="1" applyBorder="1" applyAlignment="1" applyProtection="1">
      <alignment horizontal="center" wrapText="1"/>
      <protection locked="0"/>
    </xf>
    <xf numFmtId="0" fontId="20" fillId="2" borderId="8" xfId="2" applyFill="1" applyBorder="1" applyAlignment="1">
      <alignment horizontal="center" vertical="center"/>
    </xf>
    <xf numFmtId="0" fontId="20" fillId="2" borderId="8" xfId="2" applyFill="1" applyBorder="1" applyAlignment="1">
      <alignment horizontal="center" vertical="top" wrapText="1"/>
    </xf>
    <xf numFmtId="0" fontId="31" fillId="17" borderId="8" xfId="0" applyFont="1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39" xfId="0" applyFill="1" applyBorder="1" applyAlignment="1">
      <alignment horizontal="center"/>
    </xf>
    <xf numFmtId="0" fontId="0" fillId="17" borderId="40" xfId="0" applyFill="1" applyBorder="1" applyAlignment="1">
      <alignment horizontal="center"/>
    </xf>
    <xf numFmtId="0" fontId="0" fillId="17" borderId="41" xfId="0" applyFill="1" applyBorder="1" applyAlignment="1">
      <alignment horizontal="center"/>
    </xf>
    <xf numFmtId="14" fontId="0" fillId="2" borderId="8" xfId="0" applyNumberForma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43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0" fontId="0" fillId="2" borderId="43" xfId="0" applyNumberFormat="1" applyFill="1" applyBorder="1" applyAlignment="1">
      <alignment horizontal="center" vertical="center" wrapText="1"/>
    </xf>
    <xf numFmtId="0" fontId="0" fillId="2" borderId="42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49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wrapText="1"/>
    </xf>
    <xf numFmtId="0" fontId="20" fillId="2" borderId="18" xfId="2" applyFill="1" applyBorder="1" applyAlignment="1">
      <alignment horizontal="center" wrapText="1"/>
    </xf>
    <xf numFmtId="0" fontId="0" fillId="17" borderId="8" xfId="0" applyFill="1" applyBorder="1" applyAlignment="1">
      <alignment horizontal="center" vertical="center"/>
    </xf>
    <xf numFmtId="0" fontId="39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0" fontId="0" fillId="2" borderId="8" xfId="0" applyNumberFormat="1" applyFill="1" applyBorder="1" applyAlignment="1">
      <alignment horizontal="center" vertical="center" wrapText="1"/>
    </xf>
    <xf numFmtId="10" fontId="0" fillId="2" borderId="19" xfId="0" applyNumberFormat="1" applyFill="1" applyBorder="1" applyAlignment="1">
      <alignment horizontal="center" vertical="center" wrapText="1"/>
    </xf>
    <xf numFmtId="0" fontId="30" fillId="2" borderId="43" xfId="0" applyFont="1" applyFill="1" applyBorder="1" applyAlignment="1">
      <alignment horizontal="center" vertical="center"/>
    </xf>
    <xf numFmtId="0" fontId="30" fillId="2" borderId="42" xfId="0" applyFont="1" applyFill="1" applyBorder="1" applyAlignment="1">
      <alignment horizontal="center" vertical="center"/>
    </xf>
    <xf numFmtId="0" fontId="30" fillId="2" borderId="34" xfId="0" applyFont="1" applyFill="1" applyBorder="1" applyAlignment="1">
      <alignment horizontal="center" vertical="center"/>
    </xf>
    <xf numFmtId="0" fontId="30" fillId="2" borderId="53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center" vertical="center"/>
    </xf>
    <xf numFmtId="0" fontId="30" fillId="2" borderId="54" xfId="0" applyFont="1" applyFill="1" applyBorder="1" applyAlignment="1">
      <alignment horizontal="center" vertical="center"/>
    </xf>
    <xf numFmtId="0" fontId="30" fillId="2" borderId="49" xfId="0" applyFont="1" applyFill="1" applyBorder="1" applyAlignment="1">
      <alignment horizontal="center" vertical="center"/>
    </xf>
    <xf numFmtId="0" fontId="30" fillId="2" borderId="52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17" borderId="43" xfId="0" applyFill="1" applyBorder="1" applyAlignment="1">
      <alignment horizontal="center" vertical="center" wrapText="1"/>
    </xf>
    <xf numFmtId="0" fontId="0" fillId="17" borderId="42" xfId="0" applyFill="1" applyBorder="1" applyAlignment="1">
      <alignment horizontal="center" vertical="center" wrapText="1"/>
    </xf>
    <xf numFmtId="0" fontId="0" fillId="17" borderId="34" xfId="0" applyFill="1" applyBorder="1" applyAlignment="1">
      <alignment horizontal="center" vertical="center" wrapText="1"/>
    </xf>
    <xf numFmtId="0" fontId="0" fillId="17" borderId="49" xfId="0" applyFill="1" applyBorder="1" applyAlignment="1">
      <alignment horizontal="center" vertical="center" wrapText="1"/>
    </xf>
    <xf numFmtId="0" fontId="0" fillId="17" borderId="52" xfId="0" applyFill="1" applyBorder="1" applyAlignment="1">
      <alignment horizontal="center" vertical="center" wrapText="1"/>
    </xf>
    <xf numFmtId="0" fontId="0" fillId="17" borderId="17" xfId="0" applyFill="1" applyBorder="1" applyAlignment="1">
      <alignment horizontal="center" vertical="center" wrapText="1"/>
    </xf>
    <xf numFmtId="0" fontId="40" fillId="4" borderId="8" xfId="0" applyFont="1" applyFill="1" applyBorder="1" applyAlignment="1">
      <alignment horizontal="center"/>
    </xf>
    <xf numFmtId="0" fontId="30" fillId="2" borderId="8" xfId="0" applyFont="1" applyFill="1" applyBorder="1" applyAlignment="1">
      <alignment horizontal="center"/>
    </xf>
  </cellXfs>
  <cellStyles count="17">
    <cellStyle name="Encabezado 1 2" xfId="9" xr:uid="{86B23232-C069-4416-83BA-960AB58E5492}"/>
    <cellStyle name="Fecha" xfId="16" xr:uid="{ADB5DD15-8711-4BF7-9234-FEB6547CC257}"/>
    <cellStyle name="Hipervínculo 2" xfId="6" xr:uid="{889B3E59-5504-4BA1-B664-2746550C9853}"/>
    <cellStyle name="Hipervínculo 3" xfId="12" xr:uid="{67C0FFB3-AAA5-4BE8-BAED-5B6BD09EC710}"/>
    <cellStyle name="Inicio del proyecto" xfId="11" xr:uid="{E06D9EE4-3837-47B3-AB84-2ADD27F578DF}"/>
    <cellStyle name="Moneda 2" xfId="4" xr:uid="{606A581A-BC7F-4C77-A442-FF768F13FE7B}"/>
    <cellStyle name="Nombre" xfId="14" xr:uid="{CBD01AA9-D636-4033-B6EF-6C539D9C049D}"/>
    <cellStyle name="Normal" xfId="0" builtinId="0"/>
    <cellStyle name="Normal 2" xfId="2" xr:uid="{0D3FB42D-C328-4C5F-A1EF-8883A0C0F3BD}"/>
    <cellStyle name="Normal 3" xfId="5" xr:uid="{536DAACC-386D-495B-8C7E-C4D5BC36A646}"/>
    <cellStyle name="Normal 7" xfId="7" xr:uid="{6C0EFBAA-07C8-4079-AE28-C0F628BCD137}"/>
    <cellStyle name="Percent 2" xfId="3" xr:uid="{13836384-3E5D-4F3C-92AB-0FF3B8E6EF09}"/>
    <cellStyle name="Porcentaje" xfId="1" builtinId="5"/>
    <cellStyle name="Tarea" xfId="15" xr:uid="{74720E16-489A-4FA8-B775-91008971F846}"/>
    <cellStyle name="Título 2 2" xfId="13" xr:uid="{B3D93644-F5D2-4B65-8740-B16F860361FB}"/>
    <cellStyle name="Título 3 2" xfId="10" xr:uid="{D25748D9-98CE-4C04-9A31-D0B479EADC07}"/>
    <cellStyle name="Título 4" xfId="8" xr:uid="{950DB54C-AAB0-4DA7-AA21-8BB5C4D658C2}"/>
  </cellStyles>
  <dxfs count="3">
    <dxf>
      <fill>
        <patternFill>
          <bgColor rgb="FFFF0000"/>
        </patternFill>
      </fill>
      <border>
        <left/>
        <right/>
      </border>
    </dxf>
    <dxf>
      <fill>
        <patternFill>
          <bgColor rgb="FF00B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</dxfs>
  <tableStyles count="0" defaultTableStyle="TableStyleMedium2" defaultPivotStyle="PivotStyleLight16"/>
  <colors>
    <mruColors>
      <color rgb="FFE0E03E"/>
      <color rgb="FF00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8" Type="http://schemas.openxmlformats.org/officeDocument/2006/relationships/worksheet" Target="worksheets/sheet8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Gráfico</a:t>
            </a:r>
            <a:r>
              <a:rPr lang="en-US" baseline="0"/>
              <a:t> de tiempo </a:t>
            </a:r>
            <a:r>
              <a:rPr lang="en-US"/>
              <a:t>(con objetivo y promedio)</a:t>
            </a:r>
          </a:p>
        </c:rich>
      </c:tx>
      <c:layout>
        <c:manualLayout>
          <c:xMode val="edge"/>
          <c:yMode val="edge"/>
          <c:x val="0.26622317802293866"/>
          <c:y val="1.79212096816535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219689368378036E-2"/>
          <c:y val="0.13620119358056679"/>
          <c:w val="0.90848659500327789"/>
          <c:h val="0.52326962865408755"/>
        </c:manualLayout>
      </c:layout>
      <c:lineChart>
        <c:grouping val="standard"/>
        <c:varyColors val="0"/>
        <c:ser>
          <c:idx val="0"/>
          <c:order val="0"/>
          <c:tx>
            <c:strRef>
              <c:f>'Series de tiempo'!$D$5</c:f>
              <c:strCache>
                <c:ptCount val="1"/>
                <c:pt idx="0">
                  <c:v>Métrico
(cantidad, dinero, porcentaje)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 w="19050">
                <a:solidFill>
                  <a:srgbClr val="FF0000"/>
                </a:solidFill>
                <a:prstDash val="solid"/>
              </a:ln>
            </c:spPr>
          </c:marker>
          <c:cat>
            <c:numRef>
              <c:f>'Series de tiempo'!$C$6:$C$25</c:f>
              <c:numCache>
                <c:formatCode>m/d/yy;@</c:formatCode>
                <c:ptCount val="20"/>
              </c:numCache>
            </c:numRef>
          </c:cat>
          <c:val>
            <c:numRef>
              <c:f>'Series de tiempo'!$D$6:$D$25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C-4A88-B631-F4801C5FDAC1}"/>
            </c:ext>
          </c:extLst>
        </c:ser>
        <c:ser>
          <c:idx val="1"/>
          <c:order val="1"/>
          <c:tx>
            <c:strRef>
              <c:f>'Series de tiempo'!$E$5</c:f>
              <c:strCache>
                <c:ptCount val="1"/>
                <c:pt idx="0">
                  <c:v>Objetivo
(Target)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'Series de tiempo'!$C$6:$C$25</c:f>
              <c:numCache>
                <c:formatCode>m/d/yy;@</c:formatCode>
                <c:ptCount val="20"/>
              </c:numCache>
            </c:numRef>
          </c:cat>
          <c:val>
            <c:numRef>
              <c:f>'Series de tiempo'!$E$6:$E$25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C-4A88-B631-F4801C5FDAC1}"/>
            </c:ext>
          </c:extLst>
        </c:ser>
        <c:ser>
          <c:idx val="2"/>
          <c:order val="2"/>
          <c:tx>
            <c:strRef>
              <c:f>'Series de tiempo'!$F$5</c:f>
              <c:strCache>
                <c:ptCount val="1"/>
                <c:pt idx="0">
                  <c:v>Promedio
(Mean)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'Series de tiempo'!$C$6:$C$25</c:f>
              <c:numCache>
                <c:formatCode>m/d/yy;@</c:formatCode>
                <c:ptCount val="20"/>
              </c:numCache>
            </c:numRef>
          </c:cat>
          <c:val>
            <c:numRef>
              <c:f>'Series de tiempo'!$F$6:$F$25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C-4A88-B631-F4801C5FD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776016"/>
        <c:axId val="739774840"/>
      </c:lineChart>
      <c:catAx>
        <c:axId val="739776016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9774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39774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9776016"/>
        <c:crosses val="autoZero"/>
        <c:crossBetween val="between"/>
      </c:valAx>
      <c:spPr>
        <a:gradFill rotWithShape="0">
          <a:gsLst>
            <a:gs pos="0">
              <a:srgbClr val="F0F0F0">
                <a:gamma/>
                <a:tint val="23922"/>
                <a:invGamma/>
              </a:srgbClr>
            </a:gs>
            <a:gs pos="100000">
              <a:srgbClr val="C0C0C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5642274984846822"/>
          <c:y val="0.7833512174920132"/>
          <c:w val="0.20645992457343107"/>
          <c:h val="0.21369854062605206"/>
        </c:manualLayout>
      </c:layout>
      <c:overlay val="0"/>
      <c:spPr>
        <a:solidFill>
          <a:schemeClr val="bg2"/>
        </a:solidFill>
      </c:spPr>
    </c:legend>
    <c:plotVisOnly val="1"/>
    <c:dispBlanksAs val="gap"/>
    <c:showDLblsOverMax val="0"/>
  </c:chart>
  <c:spPr>
    <a:solidFill>
      <a:schemeClr val="tx1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Pareto Chart (Nombre)</a:t>
            </a:r>
          </a:p>
        </c:rich>
      </c:tx>
      <c:layout>
        <c:manualLayout>
          <c:xMode val="edge"/>
          <c:yMode val="edge"/>
          <c:x val="0.3287275137119488"/>
          <c:y val="3.6231884057971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81884056575268"/>
          <c:y val="0.21467391304347827"/>
          <c:w val="0.70414336812624778"/>
          <c:h val="0.5679347826086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Pareto!$B$27</c:f>
              <c:strCache>
                <c:ptCount val="1"/>
                <c:pt idx="0">
                  <c:v>Frecuencia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Pareto!$C$26:$H$26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Other</c:v>
                </c:pt>
              </c:strCache>
            </c:strRef>
          </c:cat>
          <c:val>
            <c:numRef>
              <c:f>Pareto!$C$27:$H$27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2216-4793-83B6-CB1687148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3899280"/>
        <c:axId val="693900848"/>
      </c:barChart>
      <c:lineChart>
        <c:grouping val="standard"/>
        <c:varyColors val="0"/>
        <c:ser>
          <c:idx val="2"/>
          <c:order val="1"/>
          <c:tx>
            <c:strRef>
              <c:f>Pareto!$B$29</c:f>
              <c:strCache>
                <c:ptCount val="1"/>
                <c:pt idx="0">
                  <c:v>Porcentaje acumulado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rgbClr val="FF0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5"/>
              <c:layout>
                <c:manualLayout>
                  <c:x val="-1.5503875968992248E-2"/>
                  <c:y val="2.89855072463767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16-4793-83B6-CB16871487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Pareto!$C$26:$H$26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Other</c:v>
                </c:pt>
              </c:strCache>
            </c:strRef>
          </c:cat>
          <c:val>
            <c:numRef>
              <c:f>Pareto!$C$29:$H$29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16-4793-83B6-CB1687148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848608"/>
        <c:axId val="693845864"/>
      </c:lineChart>
      <c:catAx>
        <c:axId val="693899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Categorias</a:t>
                </a:r>
              </a:p>
            </c:rich>
          </c:tx>
          <c:layout>
            <c:manualLayout>
              <c:xMode val="edge"/>
              <c:yMode val="edge"/>
              <c:x val="0.45364978898889952"/>
              <c:y val="0.88043478260869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900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39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Frecuencia</a:t>
                </a:r>
              </a:p>
            </c:rich>
          </c:tx>
          <c:layout>
            <c:manualLayout>
              <c:xMode val="edge"/>
              <c:yMode val="edge"/>
              <c:x val="3.1558246190532144E-2"/>
              <c:y val="0.40760869565217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99280"/>
        <c:crosses val="autoZero"/>
        <c:crossBetween val="between"/>
      </c:valAx>
      <c:catAx>
        <c:axId val="6938486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693845864"/>
        <c:crosses val="autoZero"/>
        <c:auto val="1"/>
        <c:lblAlgn val="ctr"/>
        <c:lblOffset val="100"/>
        <c:noMultiLvlLbl val="0"/>
      </c:catAx>
      <c:valAx>
        <c:axId val="693845864"/>
        <c:scaling>
          <c:orientation val="minMax"/>
          <c:max val="1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48608"/>
        <c:crosses val="max"/>
        <c:crossBetween val="between"/>
        <c:majorUnit val="0.2"/>
        <c:minorUnit val="2.0000000000000011E-2"/>
      </c:valAx>
      <c:spPr>
        <a:gradFill flip="none" rotWithShape="1">
          <a:gsLst>
            <a:gs pos="5000">
              <a:srgbClr val="F0F0F0">
                <a:gamma/>
                <a:tint val="23922"/>
                <a:invGamma/>
              </a:srgbClr>
            </a:gs>
            <a:gs pos="100000">
              <a:srgbClr val="C0C0C0"/>
            </a:gs>
          </a:gsLst>
          <a:lin ang="2700000" scaled="1"/>
          <a:tileRect/>
        </a:gradFill>
        <a:ln cap="flat">
          <a:solidFill>
            <a:srgbClr val="000000"/>
          </a:solidFill>
          <a:round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000000000000078" r="0.75000000000000078" t="1" header="0.5" footer="0.5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16</xdr:row>
      <xdr:rowOff>201082</xdr:rowOff>
    </xdr:from>
    <xdr:to>
      <xdr:col>8</xdr:col>
      <xdr:colOff>10584</xdr:colOff>
      <xdr:row>20</xdr:row>
      <xdr:rowOff>201083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0033001" y="3905249"/>
          <a:ext cx="1513416" cy="7831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4234</xdr:colOff>
      <xdr:row>0</xdr:row>
      <xdr:rowOff>179916</xdr:rowOff>
    </xdr:from>
    <xdr:to>
      <xdr:col>7</xdr:col>
      <xdr:colOff>182034</xdr:colOff>
      <xdr:row>4</xdr:row>
      <xdr:rowOff>341841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0767484" y="179916"/>
          <a:ext cx="2019300" cy="10720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173181</xdr:colOff>
      <xdr:row>10</xdr:row>
      <xdr:rowOff>149225</xdr:rowOff>
    </xdr:from>
    <xdr:ext cx="1865169" cy="1656814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16081" y="2835275"/>
          <a:ext cx="1865169" cy="1656814"/>
        </a:xfrm>
        <a:prstGeom prst="rect">
          <a:avLst/>
        </a:prstGeom>
        <a:solidFill>
          <a:srgbClr val="FFC000"/>
        </a:solidFill>
        <a:ln w="2857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ctr">
          <a:noAutofit/>
        </a:bodyPr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523875</xdr:colOff>
      <xdr:row>5</xdr:row>
      <xdr:rowOff>34925</xdr:rowOff>
    </xdr:from>
    <xdr:ext cx="2540000" cy="79368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390900" y="1673225"/>
          <a:ext cx="2540000" cy="793680"/>
        </a:xfrm>
        <a:prstGeom prst="rect">
          <a:avLst/>
        </a:prstGeom>
        <a:solidFill>
          <a:srgbClr val="FFC000"/>
        </a:solidFill>
        <a:ln w="2857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ctr">
          <a:no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3</xdr:col>
      <xdr:colOff>558800</xdr:colOff>
      <xdr:row>5</xdr:row>
      <xdr:rowOff>34925</xdr:rowOff>
    </xdr:from>
    <xdr:ext cx="2540000" cy="79368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073900" y="1673225"/>
          <a:ext cx="2540000" cy="793680"/>
        </a:xfrm>
        <a:prstGeom prst="rect">
          <a:avLst/>
        </a:prstGeom>
        <a:solidFill>
          <a:srgbClr val="FFC000"/>
        </a:solidFill>
        <a:ln w="2857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ctr">
          <a:no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2038350</xdr:colOff>
      <xdr:row>7</xdr:row>
      <xdr:rowOff>11180</xdr:rowOff>
    </xdr:from>
    <xdr:to>
      <xdr:col>2</xdr:col>
      <xdr:colOff>523875</xdr:colOff>
      <xdr:row>14</xdr:row>
      <xdr:rowOff>136463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>
          <a:cxnSpLocks/>
          <a:stCxn id="2" idx="3"/>
          <a:endCxn id="3" idx="1"/>
        </xdr:cNvCxnSpPr>
      </xdr:nvCxnSpPr>
      <xdr:spPr>
        <a:xfrm flipV="1">
          <a:off x="2381250" y="2068580"/>
          <a:ext cx="1009650" cy="1592133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3063875</xdr:colOff>
      <xdr:row>7</xdr:row>
      <xdr:rowOff>12665</xdr:rowOff>
    </xdr:from>
    <xdr:to>
      <xdr:col>3</xdr:col>
      <xdr:colOff>558800</xdr:colOff>
      <xdr:row>7</xdr:row>
      <xdr:rowOff>12665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cxnSpLocks/>
          <a:stCxn id="3" idx="3"/>
          <a:endCxn id="4" idx="1"/>
        </xdr:cNvCxnSpPr>
      </xdr:nvCxnSpPr>
      <xdr:spPr>
        <a:xfrm>
          <a:off x="5930900" y="2070065"/>
          <a:ext cx="1143000" cy="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523875</xdr:colOff>
      <xdr:row>12</xdr:row>
      <xdr:rowOff>167285</xdr:rowOff>
    </xdr:from>
    <xdr:ext cx="2540000" cy="79368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3390900" y="3272435"/>
          <a:ext cx="2540000" cy="793680"/>
        </a:xfrm>
        <a:prstGeom prst="rect">
          <a:avLst/>
        </a:prstGeom>
        <a:solidFill>
          <a:srgbClr val="FFC000"/>
        </a:solidFill>
        <a:ln w="2857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ctr">
          <a:noAutofit/>
        </a:bodyPr>
        <a:lstStyle/>
        <a:p>
          <a:pPr algn="ctr"/>
          <a:endParaRPr lang="en-US" sz="1100"/>
        </a:p>
      </xdr:txBody>
    </xdr:sp>
    <xdr:clientData/>
  </xdr:oneCellAnchor>
  <xdr:oneCellAnchor>
    <xdr:from>
      <xdr:col>3</xdr:col>
      <xdr:colOff>558800</xdr:colOff>
      <xdr:row>12</xdr:row>
      <xdr:rowOff>167285</xdr:rowOff>
    </xdr:from>
    <xdr:ext cx="2540000" cy="79368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7073900" y="3272435"/>
          <a:ext cx="2540000" cy="793680"/>
        </a:xfrm>
        <a:prstGeom prst="rect">
          <a:avLst/>
        </a:prstGeom>
        <a:solidFill>
          <a:srgbClr val="FFC000"/>
        </a:solidFill>
        <a:ln w="2857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ctr">
          <a:no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2038350</xdr:colOff>
      <xdr:row>14</xdr:row>
      <xdr:rowOff>136463</xdr:rowOff>
    </xdr:from>
    <xdr:to>
      <xdr:col>2</xdr:col>
      <xdr:colOff>523875</xdr:colOff>
      <xdr:row>14</xdr:row>
      <xdr:rowOff>143541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>
          <a:stCxn id="2" idx="3"/>
          <a:endCxn id="7" idx="1"/>
        </xdr:cNvCxnSpPr>
      </xdr:nvCxnSpPr>
      <xdr:spPr>
        <a:xfrm>
          <a:off x="2381250" y="3660713"/>
          <a:ext cx="1009650" cy="7078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3063875</xdr:colOff>
      <xdr:row>14</xdr:row>
      <xdr:rowOff>143541</xdr:rowOff>
    </xdr:from>
    <xdr:to>
      <xdr:col>3</xdr:col>
      <xdr:colOff>558800</xdr:colOff>
      <xdr:row>14</xdr:row>
      <xdr:rowOff>143541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>
          <a:stCxn id="7" idx="3"/>
          <a:endCxn id="8" idx="1"/>
        </xdr:cNvCxnSpPr>
      </xdr:nvCxnSpPr>
      <xdr:spPr>
        <a:xfrm>
          <a:off x="5930900" y="3667791"/>
          <a:ext cx="1143000" cy="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558140</xdr:colOff>
      <xdr:row>20</xdr:row>
      <xdr:rowOff>61644</xdr:rowOff>
    </xdr:from>
    <xdr:ext cx="2540000" cy="793680"/>
    <xdr:sp macro="" textlink="">
      <xdr:nvSpPr>
        <xdr:cNvPr id="11" name="テキスト ボックス 6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3425165" y="4843194"/>
          <a:ext cx="2540000" cy="793680"/>
        </a:xfrm>
        <a:prstGeom prst="rect">
          <a:avLst/>
        </a:prstGeom>
        <a:solidFill>
          <a:srgbClr val="FFC000"/>
        </a:solidFill>
        <a:ln w="2857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ctr">
          <a:noAutofit/>
        </a:bodyPr>
        <a:lstStyle/>
        <a:p>
          <a:pPr algn="ctr"/>
          <a:endParaRPr lang="en-US" sz="1100"/>
        </a:p>
      </xdr:txBody>
    </xdr:sp>
    <xdr:clientData/>
  </xdr:oneCellAnchor>
  <xdr:twoCellAnchor>
    <xdr:from>
      <xdr:col>1</xdr:col>
      <xdr:colOff>2038350</xdr:colOff>
      <xdr:row>14</xdr:row>
      <xdr:rowOff>136463</xdr:rowOff>
    </xdr:from>
    <xdr:to>
      <xdr:col>2</xdr:col>
      <xdr:colOff>558140</xdr:colOff>
      <xdr:row>22</xdr:row>
      <xdr:rowOff>37899</xdr:rowOff>
    </xdr:to>
    <xdr:cxnSp macro="">
      <xdr:nvCxnSpPr>
        <xdr:cNvPr id="12" name="直線矢印コネクタ 8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>
          <a:stCxn id="2" idx="3"/>
          <a:endCxn id="11" idx="1"/>
        </xdr:cNvCxnSpPr>
      </xdr:nvCxnSpPr>
      <xdr:spPr>
        <a:xfrm>
          <a:off x="2381250" y="3660713"/>
          <a:ext cx="1043915" cy="1577836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3098140</xdr:colOff>
      <xdr:row>22</xdr:row>
      <xdr:rowOff>35054</xdr:rowOff>
    </xdr:from>
    <xdr:to>
      <xdr:col>3</xdr:col>
      <xdr:colOff>599745</xdr:colOff>
      <xdr:row>22</xdr:row>
      <xdr:rowOff>37899</xdr:rowOff>
    </xdr:to>
    <xdr:cxnSp macro="">
      <xdr:nvCxnSpPr>
        <xdr:cNvPr id="13" name="直線矢印コネクタ 9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>
          <a:stCxn id="11" idx="3"/>
          <a:endCxn id="14" idx="1"/>
        </xdr:cNvCxnSpPr>
      </xdr:nvCxnSpPr>
      <xdr:spPr>
        <a:xfrm flipV="1">
          <a:off x="5965165" y="5235704"/>
          <a:ext cx="1149680" cy="284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599745</xdr:colOff>
      <xdr:row>20</xdr:row>
      <xdr:rowOff>58799</xdr:rowOff>
    </xdr:from>
    <xdr:ext cx="2540000" cy="793680"/>
    <xdr:sp macro="" textlink="">
      <xdr:nvSpPr>
        <xdr:cNvPr id="14" name="テキスト ボックス 7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7114845" y="4840349"/>
          <a:ext cx="2540000" cy="793680"/>
        </a:xfrm>
        <a:prstGeom prst="rect">
          <a:avLst/>
        </a:prstGeom>
        <a:solidFill>
          <a:srgbClr val="FFC000"/>
        </a:solidFill>
        <a:ln w="2857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ctr">
          <a:noAutofit/>
        </a:bodyPr>
        <a:lstStyle/>
        <a:p>
          <a:endParaRPr lang="en-US" sz="1100"/>
        </a:p>
      </xdr:txBody>
    </xdr:sp>
    <xdr:clientData/>
  </xdr:oneCellAnchor>
  <xdr:twoCellAnchor editAs="oneCell">
    <xdr:from>
      <xdr:col>3</xdr:col>
      <xdr:colOff>3651249</xdr:colOff>
      <xdr:row>1</xdr:row>
      <xdr:rowOff>12851</xdr:rowOff>
    </xdr:from>
    <xdr:to>
      <xdr:col>8</xdr:col>
      <xdr:colOff>33563</xdr:colOff>
      <xdr:row>3</xdr:row>
      <xdr:rowOff>225425</xdr:rowOff>
    </xdr:to>
    <xdr:pic>
      <xdr:nvPicPr>
        <xdr:cNvPr id="15" name="Imagen 14" descr="Logotipo&#10;&#10;Descripción generada automáticament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0054166" y="224518"/>
          <a:ext cx="1991480" cy="10698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104671</xdr:colOff>
      <xdr:row>4</xdr:row>
      <xdr:rowOff>78085</xdr:rowOff>
    </xdr:from>
    <xdr:to>
      <xdr:col>21</xdr:col>
      <xdr:colOff>282610</xdr:colOff>
      <xdr:row>24</xdr:row>
      <xdr:rowOff>188407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0</xdr:colOff>
      <xdr:row>1</xdr:row>
      <xdr:rowOff>0</xdr:rowOff>
    </xdr:from>
    <xdr:to>
      <xdr:col>25</xdr:col>
      <xdr:colOff>184943</xdr:colOff>
      <xdr:row>4</xdr:row>
      <xdr:rowOff>19050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4251781" y="166688"/>
          <a:ext cx="2006600" cy="1066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47625</xdr:rowOff>
    </xdr:from>
    <xdr:to>
      <xdr:col>10</xdr:col>
      <xdr:colOff>600075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142876</xdr:colOff>
      <xdr:row>27</xdr:row>
      <xdr:rowOff>104775</xdr:rowOff>
    </xdr:from>
    <xdr:to>
      <xdr:col>11</xdr:col>
      <xdr:colOff>16554</xdr:colOff>
      <xdr:row>31</xdr:row>
      <xdr:rowOff>19049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5962651" y="4572000"/>
          <a:ext cx="1092878" cy="5810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44302</xdr:rowOff>
    </xdr:from>
    <xdr:to>
      <xdr:col>10</xdr:col>
      <xdr:colOff>598081</xdr:colOff>
      <xdr:row>20</xdr:row>
      <xdr:rowOff>166687</xdr:rowOff>
    </xdr:to>
    <xdr:pic>
      <xdr:nvPicPr>
        <xdr:cNvPr id="2" name="Picture 1" descr="C:\Users\carlos.perez\Desktop\Lean Images\SMART-goals (1)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8" y="3985271"/>
          <a:ext cx="6944112" cy="107488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</xdr:row>
      <xdr:rowOff>100263</xdr:rowOff>
    </xdr:from>
    <xdr:to>
      <xdr:col>14</xdr:col>
      <xdr:colOff>171784</xdr:colOff>
      <xdr:row>21</xdr:row>
      <xdr:rowOff>24063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7599947" y="4030579"/>
          <a:ext cx="2006600" cy="1066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2651125</xdr:colOff>
      <xdr:row>1</xdr:row>
      <xdr:rowOff>0</xdr:rowOff>
    </xdr:from>
    <xdr:to>
      <xdr:col>9</xdr:col>
      <xdr:colOff>165100</xdr:colOff>
      <xdr:row>2</xdr:row>
      <xdr:rowOff>269875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7541875" y="317500"/>
          <a:ext cx="2006600" cy="9683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6</xdr:row>
      <xdr:rowOff>76200</xdr:rowOff>
    </xdr:from>
    <xdr:to>
      <xdr:col>3</xdr:col>
      <xdr:colOff>1200150</xdr:colOff>
      <xdr:row>7</xdr:row>
      <xdr:rowOff>123825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219325" y="1447800"/>
          <a:ext cx="1714500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457200</xdr:colOff>
      <xdr:row>9</xdr:row>
      <xdr:rowOff>57150</xdr:rowOff>
    </xdr:from>
    <xdr:to>
      <xdr:col>3</xdr:col>
      <xdr:colOff>1209675</xdr:colOff>
      <xdr:row>10</xdr:row>
      <xdr:rowOff>104775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228850" y="2028825"/>
          <a:ext cx="1714500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28576</xdr:colOff>
      <xdr:row>2</xdr:row>
      <xdr:rowOff>161925</xdr:rowOff>
    </xdr:from>
    <xdr:to>
      <xdr:col>6</xdr:col>
      <xdr:colOff>600076</xdr:colOff>
      <xdr:row>4</xdr:row>
      <xdr:rowOff>19050</xdr:rowOff>
    </xdr:to>
    <xdr:sp macro="" textlink="">
      <xdr:nvSpPr>
        <xdr:cNvPr id="5" name="Flecha: a la derecha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6486526" y="742950"/>
          <a:ext cx="571500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28576</xdr:colOff>
      <xdr:row>6</xdr:row>
      <xdr:rowOff>85725</xdr:rowOff>
    </xdr:from>
    <xdr:to>
      <xdr:col>6</xdr:col>
      <xdr:colOff>600076</xdr:colOff>
      <xdr:row>7</xdr:row>
      <xdr:rowOff>133350</xdr:rowOff>
    </xdr:to>
    <xdr:sp macro="" textlink="">
      <xdr:nvSpPr>
        <xdr:cNvPr id="6" name="Flecha: a la derecha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6486526" y="1457325"/>
          <a:ext cx="571500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38101</xdr:colOff>
      <xdr:row>9</xdr:row>
      <xdr:rowOff>85725</xdr:rowOff>
    </xdr:from>
    <xdr:to>
      <xdr:col>6</xdr:col>
      <xdr:colOff>609601</xdr:colOff>
      <xdr:row>10</xdr:row>
      <xdr:rowOff>133350</xdr:rowOff>
    </xdr:to>
    <xdr:sp macro="" textlink="">
      <xdr:nvSpPr>
        <xdr:cNvPr id="7" name="Flecha: a la derecha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6496051" y="2057400"/>
          <a:ext cx="571500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9525</xdr:colOff>
      <xdr:row>11</xdr:row>
      <xdr:rowOff>9525</xdr:rowOff>
    </xdr:from>
    <xdr:to>
      <xdr:col>6</xdr:col>
      <xdr:colOff>473075</xdr:colOff>
      <xdr:row>16</xdr:row>
      <xdr:rowOff>114300</xdr:rowOff>
    </xdr:to>
    <xdr:pic>
      <xdr:nvPicPr>
        <xdr:cNvPr id="8" name="Imagen 7" descr="Logotipo&#10;&#10;Descripción generada automáticamente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5638800" y="2228850"/>
          <a:ext cx="2006600" cy="10668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7937</xdr:colOff>
      <xdr:row>0</xdr:row>
      <xdr:rowOff>182563</xdr:rowOff>
    </xdr:from>
    <xdr:to>
      <xdr:col>11</xdr:col>
      <xdr:colOff>603250</xdr:colOff>
      <xdr:row>3</xdr:row>
      <xdr:rowOff>35809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9151937" y="182563"/>
          <a:ext cx="1357313" cy="7216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261937</xdr:colOff>
      <xdr:row>11</xdr:row>
      <xdr:rowOff>7937</xdr:rowOff>
    </xdr:from>
    <xdr:to>
      <xdr:col>2</xdr:col>
      <xdr:colOff>15875</xdr:colOff>
      <xdr:row>14</xdr:row>
      <xdr:rowOff>142875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261937" y="2301875"/>
          <a:ext cx="1603376" cy="70643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-1</xdr:colOff>
      <xdr:row>2</xdr:row>
      <xdr:rowOff>14008</xdr:rowOff>
    </xdr:from>
    <xdr:to>
      <xdr:col>62</xdr:col>
      <xdr:colOff>157629</xdr:colOff>
      <xdr:row>4</xdr:row>
      <xdr:rowOff>324411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5940367" y="770405"/>
          <a:ext cx="2006600" cy="10668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180975</xdr:rowOff>
    </xdr:from>
    <xdr:to>
      <xdr:col>10</xdr:col>
      <xdr:colOff>482600</xdr:colOff>
      <xdr:row>4</xdr:row>
      <xdr:rowOff>142875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9677400" y="180975"/>
          <a:ext cx="2006600" cy="8096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10</xdr:col>
      <xdr:colOff>57150</xdr:colOff>
      <xdr:row>4</xdr:row>
      <xdr:rowOff>76200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7810500" y="190500"/>
          <a:ext cx="1581150" cy="6858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19050</xdr:colOff>
      <xdr:row>1</xdr:row>
      <xdr:rowOff>0</xdr:rowOff>
    </xdr:from>
    <xdr:to>
      <xdr:col>22</xdr:col>
      <xdr:colOff>196850</xdr:colOff>
      <xdr:row>5</xdr:row>
      <xdr:rowOff>38100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1963400" y="171450"/>
          <a:ext cx="2006600" cy="10668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7938</xdr:colOff>
      <xdr:row>1</xdr:row>
      <xdr:rowOff>0</xdr:rowOff>
    </xdr:from>
    <xdr:to>
      <xdr:col>18</xdr:col>
      <xdr:colOff>490538</xdr:colOff>
      <xdr:row>7</xdr:row>
      <xdr:rowOff>42862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2374563" y="190500"/>
          <a:ext cx="2006600" cy="1090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gmgw.gm.com/USERS/OSAT-MSG/PROJECTS/General-Motors/GM%20MFD%20Engr/R&amp;R/gage-data-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los.perez/Downloads/AttributeMSA%20(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2003/0%20-%20Growth/OPNA/Portfolio/Q3%2005/Portfolio%20OPW%20Q3-05%20draf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CFS1\mgranat\MFGENG\Facilities-Maintenance\Plant%20Layout\Northstar%20cell%20layout%20and%20Workbench%20pl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nect.xyleminc.com/Program%20Files/Microsoft%20Office/OFFICE11/xlstart/QE%20Tools.x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icrosoft%20Office/OFFICE11/xlstart/QE%20Tools.xl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ii32963\Local%20Settings\Temporary%20Internet%20Files\OLKB\PBM_OA\PERSONAL%20FOLDERS\Rod\TXT%20DFSS\Project%20Generation\Sales%20Reporting\Risk%20Assessment%20Summary%20021703.XLT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nect.xyleminc.com/Documents%20and%20Settings/rralls/My%20Documents/SigmaFlow%20Insights%20Files/Corporation/Templates/Tools/Playbook-Defect_Reduction_DMAIC/GB_Template_Defect_Reduction_Tool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ralls/My%20Documents/SigmaFlow%20Insights%20Files/Corporation/Templates/Tools/Playbook-Defect_Reduction_DMAIC/GB_Template_Defect_Reduction_Too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CFS1\mgranat\DC%20Master\SPCKISS\SPC97%20Source%20Code\SPC97.XLA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gram%20Files\Microsoft%20Office\OFFICE11\xlstart\QE%20Tools.xla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los.perez/Desktop/Desktop/Master%20Black%20Belt%20-%20Role/VBLSS%20Material/Copy%20of%20Six%20Sigma%20Template%20Ki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nz\Quality\6%20Sigma\SixSigmaTemplat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gmgw.gm.com/QETools/QETools%20Help/QE%20Tool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UNTITLED.PP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1"/>
      <sheetName val="Data Sheet"/>
      <sheetName val="Sheet1"/>
      <sheetName val="Chart"/>
      <sheetName val="Summary"/>
      <sheetName val="Point #1"/>
      <sheetName val="Point #2"/>
      <sheetName val="Point #3"/>
      <sheetName val="Point #4"/>
      <sheetName val="Point #5"/>
      <sheetName val="Point #6"/>
      <sheetName val="Point #7"/>
      <sheetName val="Point #8"/>
      <sheetName val="Point #9"/>
      <sheetName val="Point #10"/>
      <sheetName val="Point #11"/>
      <sheetName val="Point #12"/>
      <sheetName val="Point #13"/>
      <sheetName val="Point #14"/>
      <sheetName val="Point #15"/>
      <sheetName val="Point #16"/>
      <sheetName val="Point #17"/>
      <sheetName val="Point #18"/>
      <sheetName val="Point #19"/>
      <sheetName val="Point #20"/>
      <sheetName val="Point #21"/>
      <sheetName val="Point #22"/>
      <sheetName val="Point #23"/>
      <sheetName val="Point #24"/>
      <sheetName val="Point #25"/>
      <sheetName val="Point #26"/>
      <sheetName val="Point #27"/>
      <sheetName val="Point #28"/>
      <sheetName val="Point #29"/>
      <sheetName val="Point #30"/>
      <sheetName val="Point #31"/>
      <sheetName val="Point #32"/>
      <sheetName val="Point #33"/>
      <sheetName val="Point #34"/>
      <sheetName val="Point #35"/>
      <sheetName val="Point #36"/>
      <sheetName val="Point #37"/>
      <sheetName val="Point #38"/>
      <sheetName val="Point #39"/>
      <sheetName val="Point #40"/>
      <sheetName val="Module1"/>
      <sheetName val="Module2"/>
      <sheetName val="Module3"/>
    </sheetNames>
    <sheetDataSet>
      <sheetData sheetId="0" refreshError="1"/>
      <sheetData sheetId="1"/>
      <sheetData sheetId="2" refreshError="1"/>
      <sheetData sheetId="3" refreshError="1"/>
      <sheetData sheetId="4">
        <row r="21">
          <cell r="C21" t="str">
            <v>Enter Tol.</v>
          </cell>
          <cell r="K21" t="str">
            <v>Enter Tol.</v>
          </cell>
        </row>
        <row r="22">
          <cell r="C22" t="str">
            <v>Enter Tol.</v>
          </cell>
          <cell r="K22" t="str">
            <v>Enter Tol.</v>
          </cell>
        </row>
        <row r="23">
          <cell r="C23" t="str">
            <v>Enter Tol.</v>
          </cell>
          <cell r="K23" t="str">
            <v>Enter Tol.</v>
          </cell>
        </row>
        <row r="24">
          <cell r="C24" t="str">
            <v>Enter Tol.</v>
          </cell>
          <cell r="K24" t="str">
            <v>Enter Tol.</v>
          </cell>
        </row>
        <row r="25">
          <cell r="C25" t="str">
            <v>Enter Tol.</v>
          </cell>
          <cell r="K25" t="str">
            <v>Enter Tol.</v>
          </cell>
        </row>
        <row r="26">
          <cell r="C26" t="str">
            <v>Enter Tol.</v>
          </cell>
          <cell r="K26" t="e">
            <v>#REF!</v>
          </cell>
        </row>
        <row r="27">
          <cell r="C27" t="str">
            <v>Enter Tol.</v>
          </cell>
          <cell r="K27" t="e">
            <v>#REF!</v>
          </cell>
        </row>
        <row r="28">
          <cell r="C28" t="str">
            <v>Enter Tol.</v>
          </cell>
          <cell r="K28" t="e">
            <v>#REF!</v>
          </cell>
        </row>
        <row r="29">
          <cell r="C29" t="str">
            <v>Enter Tol.</v>
          </cell>
          <cell r="K29" t="e">
            <v>#REF!</v>
          </cell>
        </row>
        <row r="30">
          <cell r="C30" t="str">
            <v>Enter Tol.</v>
          </cell>
          <cell r="K30" t="e">
            <v>#REF!</v>
          </cell>
        </row>
        <row r="31">
          <cell r="C31" t="str">
            <v>Enter Tol.</v>
          </cell>
          <cell r="K31" t="e">
            <v>#REF!</v>
          </cell>
        </row>
        <row r="32">
          <cell r="C32" t="str">
            <v>Enter Tol.</v>
          </cell>
          <cell r="K32" t="e">
            <v>#REF!</v>
          </cell>
        </row>
        <row r="33">
          <cell r="C33" t="str">
            <v>Enter Tol.</v>
          </cell>
          <cell r="K33" t="e">
            <v>#REF!</v>
          </cell>
        </row>
        <row r="34">
          <cell r="C34" t="str">
            <v>Enter Tol.</v>
          </cell>
          <cell r="K34" t="e">
            <v>#REF!</v>
          </cell>
        </row>
        <row r="35">
          <cell r="C35" t="str">
            <v>Enter Tol.</v>
          </cell>
          <cell r="K35" t="e">
            <v>#REF!</v>
          </cell>
        </row>
        <row r="36">
          <cell r="C36" t="str">
            <v>Enter Tol.</v>
          </cell>
          <cell r="K36" t="e">
            <v>#REF!</v>
          </cell>
        </row>
        <row r="37">
          <cell r="C37" t="str">
            <v>Enter Tol.</v>
          </cell>
          <cell r="K37" t="e">
            <v>#REF!</v>
          </cell>
        </row>
        <row r="38">
          <cell r="C38" t="str">
            <v>Enter Tol.</v>
          </cell>
          <cell r="K38" t="e">
            <v>#REF!</v>
          </cell>
        </row>
        <row r="39">
          <cell r="C39" t="str">
            <v>Enter Tol.</v>
          </cell>
          <cell r="K39" t="e">
            <v>#REF!</v>
          </cell>
        </row>
        <row r="40">
          <cell r="C40" t="str">
            <v>Enter Tol.</v>
          </cell>
          <cell r="K40" t="e">
            <v>#REF!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ribute Data Sheet"/>
      <sheetName val="Attribute Results Sheet"/>
      <sheetName val="Kappa-Kendall"/>
      <sheetName val="Calcs"/>
      <sheetName val="KappaBTS"/>
      <sheetName val="KendallBTS"/>
      <sheetName val="CDKendall"/>
    </sheetNames>
    <sheetDataSet>
      <sheetData sheetId="0"/>
      <sheetData sheetId="1">
        <row r="18">
          <cell r="B18" t="str">
            <v>Upper limit</v>
          </cell>
        </row>
      </sheetData>
      <sheetData sheetId="2" refreshError="1"/>
      <sheetData sheetId="3">
        <row r="4">
          <cell r="AY4">
            <v>0</v>
          </cell>
        </row>
      </sheetData>
      <sheetData sheetId="4">
        <row r="1">
          <cell r="E1" t="str">
            <v/>
          </cell>
        </row>
        <row r="4">
          <cell r="B4">
            <v>2</v>
          </cell>
        </row>
        <row r="5">
          <cell r="B5">
            <v>2</v>
          </cell>
        </row>
      </sheetData>
      <sheetData sheetId="5">
        <row r="17">
          <cell r="BX17" t="e">
            <v>#VALUE!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</sheetData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E"/>
      <sheetName val="BEYOND CORE"/>
      <sheetName val="KILLED"/>
      <sheetName val="QUADRANT"/>
      <sheetName val=" APPLICATIONS"/>
      <sheetName val="OPNA p-table"/>
      <sheetName val="Sheet2"/>
    </sheetNames>
    <sheetDataSet>
      <sheetData sheetId="0"/>
      <sheetData sheetId="1"/>
      <sheetData sheetId="2"/>
      <sheetData sheetId="3"/>
      <sheetData sheetId="4">
        <row r="2">
          <cell r="A2" t="str">
            <v>1 Mailing</v>
          </cell>
        </row>
        <row r="3">
          <cell r="A3" t="str">
            <v>2 ID</v>
          </cell>
        </row>
        <row r="4">
          <cell r="A4" t="str">
            <v>3 Media</v>
          </cell>
        </row>
        <row r="5">
          <cell r="A5" t="str">
            <v>4 Business Cards</v>
          </cell>
        </row>
        <row r="6">
          <cell r="A6" t="str">
            <v>5 Personal Creations</v>
          </cell>
        </row>
        <row r="7">
          <cell r="A7" t="str">
            <v>6 Printable Divider</v>
          </cell>
        </row>
        <row r="8">
          <cell r="A8" t="str">
            <v>7 Paper</v>
          </cell>
        </row>
        <row r="9">
          <cell r="A9" t="str">
            <v>8 OF&amp;P</v>
          </cell>
        </row>
        <row r="10">
          <cell r="A10" t="str">
            <v>9 Customer Brand</v>
          </cell>
        </row>
        <row r="11">
          <cell r="A11" t="str">
            <v>10 Writing Instr.</v>
          </cell>
        </row>
        <row r="12">
          <cell r="A12" t="str">
            <v>11 Alt. Mkt Routes</v>
          </cell>
        </row>
        <row r="13">
          <cell r="A13" t="str">
            <v>12 Misc</v>
          </cell>
        </row>
      </sheetData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or Plan 9_01"/>
      <sheetName val="Floor Plan 8_01"/>
      <sheetName val="Air and power"/>
      <sheetName val="Benches"/>
      <sheetName val="BOM"/>
      <sheetName val="bench comparo"/>
      <sheetName val="Blank floor plan"/>
      <sheetName val="3P - air and power"/>
      <sheetName val="3P - benchtop"/>
      <sheetName val="Notes"/>
      <sheetName val="Floor Plan 6_19_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rWks_DataSheet"/>
      <sheetName val="tmlWks_Tool Roadmap"/>
      <sheetName val="tmlWks_Project Charter"/>
      <sheetName val="wksSIPOC"/>
      <sheetName val="tmlWks_FMEA"/>
      <sheetName val="wksCauseEffect"/>
      <sheetName val="tmlWks_Control Plan Mfg"/>
      <sheetName val="tmlWks_Control Plan Trans"/>
      <sheetName val="tmlWks_HOQ"/>
      <sheetName val="tmlWks_Pugh Matrix"/>
      <sheetName val="tmlWks_Scorecard"/>
      <sheetName val="tmlWks_Scorecard_Simple"/>
      <sheetName val="tmlWks_Yield Analyzer"/>
      <sheetName val="tmlWks_test variance - standard"/>
      <sheetName val="tmlWks_test two variances"/>
      <sheetName val="tmlWks_test paired data"/>
      <sheetName val="tmlWks_test two proportions"/>
      <sheetName val="tmlWks_test two means - ind"/>
      <sheetName val="tmlWks_Process Cap Converter"/>
      <sheetName val="tmlWks_Sigma Level Converter"/>
      <sheetName val="tmlWks_GageRR"/>
      <sheetName val="tmlWks_Paired(Rep) Meas Study"/>
      <sheetName val="tmlWks_Attribute Matching Study"/>
      <sheetName val="wksMultiBoxPlot"/>
      <sheetName val="wksPareto"/>
      <sheetName val="wksXbar-Range"/>
      <sheetName val="wksP-Chart"/>
      <sheetName val="wksHistogram"/>
      <sheetName val="wksCapAnalysis"/>
      <sheetName val="wksCapAnalysisNonNormal"/>
      <sheetName val="wksCapAnalysisBinomial"/>
      <sheetName val="wksScatterPlot"/>
      <sheetName val="wksRunChart"/>
      <sheetName val="wksDOEAnalysis"/>
      <sheetName val="wksFactorial"/>
      <sheetName val="wksMRegression"/>
      <sheetName val="wksBlank"/>
      <sheetName val="wksEnabledMenu"/>
      <sheetName val="wksDisabledMenu"/>
      <sheetName val="tmlWks_Tolerance Analysis"/>
      <sheetName val="wksTolSimLinear"/>
      <sheetName val="Triz Contradiction Matrix"/>
      <sheetName val="tmlWks_Process Cap Calculator"/>
      <sheetName val="tmlWks_DPM Calculator"/>
      <sheetName val="tmlWks_Sigma Level Calculator"/>
      <sheetName val="tmlWks_Repeated Meas Study"/>
      <sheetName val="Chart Builder Template for 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3">
          <cell r="C23" t="str">
            <v>Requirements Group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AB2">
            <v>1</v>
          </cell>
        </row>
        <row r="10">
          <cell r="C10" t="e">
            <v>#DIV/0!</v>
          </cell>
        </row>
        <row r="12">
          <cell r="AF12">
            <v>2</v>
          </cell>
        </row>
        <row r="16">
          <cell r="AF16">
            <v>1</v>
          </cell>
        </row>
      </sheetData>
      <sheetData sheetId="28">
        <row r="2">
          <cell r="AB2" t="e">
            <v>#DIV/0!</v>
          </cell>
        </row>
        <row r="12">
          <cell r="AF12">
            <v>1</v>
          </cell>
        </row>
      </sheetData>
      <sheetData sheetId="29">
        <row r="2">
          <cell r="AB2" t="e">
            <v>#DIV/0!</v>
          </cell>
        </row>
        <row r="12">
          <cell r="AF12">
            <v>1</v>
          </cell>
        </row>
      </sheetData>
      <sheetData sheetId="30"/>
      <sheetData sheetId="31">
        <row r="2">
          <cell r="AE2" t="e">
            <v>#DIV/0!</v>
          </cell>
          <cell r="AF2" t="e">
            <v>#DIV/0!</v>
          </cell>
        </row>
        <row r="4">
          <cell r="AE4">
            <v>0</v>
          </cell>
          <cell r="AF4" t="e">
            <v>#DIV/0!</v>
          </cell>
        </row>
        <row r="5">
          <cell r="AE5">
            <v>0</v>
          </cell>
          <cell r="AF5" t="e">
            <v>#DIV/0!</v>
          </cell>
        </row>
      </sheetData>
      <sheetData sheetId="32"/>
      <sheetData sheetId="33"/>
      <sheetData sheetId="34"/>
      <sheetData sheetId="35">
        <row r="7">
          <cell r="CV7">
            <v>1</v>
          </cell>
        </row>
      </sheetData>
      <sheetData sheetId="36"/>
      <sheetData sheetId="37"/>
      <sheetData sheetId="38"/>
      <sheetData sheetId="39">
        <row r="2">
          <cell r="I2" t="str">
            <v>Other Generic Assumptions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1.5 Updates"/>
      <sheetName val="usrWks_DataSheet"/>
      <sheetName val="tmlWks_test variance - standard"/>
      <sheetName val="tmlWks_test two variances"/>
      <sheetName val="tmlWks_test two means - ind"/>
      <sheetName val="tmlWks_test paired data"/>
      <sheetName val="tmlWks_test two proportions"/>
      <sheetName val="tmlWks_Tool Roadmap"/>
      <sheetName val="tmlWks_DPM Calculator"/>
      <sheetName val="tmlWks_Sigma Level Calculator"/>
      <sheetName val="tmlWks_Project Charter"/>
      <sheetName val="tmlWks_GageRR"/>
      <sheetName val="tmlWks_Repeated Meas Study"/>
      <sheetName val="tmlWks_Attribute Matching Study"/>
      <sheetName val="tmlWks_Control Plan Mfg"/>
      <sheetName val="tmlWks_Control Plan Trans"/>
      <sheetName val="tmlWks_Tolerance Analysis"/>
      <sheetName val="Chart Builder Template for RC"/>
      <sheetName val="tmlWks_HOQ"/>
      <sheetName val="tmlWks_FMEA"/>
      <sheetName val="wksMultiBoxPlot"/>
      <sheetName val="wksTallybyTable"/>
      <sheetName val="wksPareto"/>
      <sheetName val="wksXbar-Range"/>
      <sheetName val="wksP-Chart"/>
      <sheetName val="wksHistogram"/>
      <sheetName val="wksCapAnalysisNonNormal"/>
      <sheetName val="wksCapAnalysisBinomial"/>
      <sheetName val="wksCapAnalysis"/>
      <sheetName val="wksScatterPlot"/>
      <sheetName val="wksCauseEffect"/>
      <sheetName val="wksSIPOC"/>
      <sheetName val="wksRunChart"/>
      <sheetName val="wksTolSimLinear"/>
      <sheetName val="wksRegression"/>
      <sheetName val="wksFactorial"/>
      <sheetName val="wksMRegression"/>
      <sheetName val="wksBlank"/>
      <sheetName val="wksNavigation"/>
      <sheetName val="wksEnabledMenu"/>
      <sheetName val="wksDisabledMenu"/>
      <sheetName val="tmlWks_Pugh Matrix"/>
      <sheetName val="tmlWks_Scorecard"/>
      <sheetName val="tmlWks_Scorecard_Simple"/>
      <sheetName val="tmlWks_Yield Analyzer"/>
      <sheetName val="tmlWks_Process Cap Converter"/>
      <sheetName val="tmlWks_Sigma Level Converter"/>
      <sheetName val="tmlWks_Paired(Rep) Meas Study"/>
      <sheetName val="wksDOEAnalysis"/>
      <sheetName val="Triz Contradiction Matrix"/>
      <sheetName val="tmlWks_Process Cap Calcula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I2" t="str">
            <v>Other Generic Assumptions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AB2">
            <v>1</v>
          </cell>
        </row>
        <row r="10">
          <cell r="C10" t="e">
            <v>#DIV/0!</v>
          </cell>
        </row>
        <row r="12">
          <cell r="AF12">
            <v>2</v>
          </cell>
        </row>
        <row r="16">
          <cell r="AF16">
            <v>1</v>
          </cell>
        </row>
      </sheetData>
      <sheetData sheetId="26">
        <row r="2">
          <cell r="AB2" t="e">
            <v>#DIV/0!</v>
          </cell>
        </row>
        <row r="12">
          <cell r="AF12">
            <v>1</v>
          </cell>
        </row>
      </sheetData>
      <sheetData sheetId="27"/>
      <sheetData sheetId="28">
        <row r="2">
          <cell r="AB2" t="e">
            <v>#DIV/0!</v>
          </cell>
        </row>
        <row r="12">
          <cell r="AF12">
            <v>1</v>
          </cell>
        </row>
      </sheetData>
      <sheetData sheetId="29">
        <row r="2">
          <cell r="AE2" t="e">
            <v>#DIV/0!</v>
          </cell>
          <cell r="AF2" t="e">
            <v>#DIV/0!</v>
          </cell>
        </row>
        <row r="4">
          <cell r="AE4">
            <v>0</v>
          </cell>
          <cell r="AF4" t="e">
            <v>#DIV/0!</v>
          </cell>
        </row>
        <row r="5">
          <cell r="AE5">
            <v>0</v>
          </cell>
          <cell r="AF5" t="e">
            <v>#DIV/0!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7">
          <cell r="CV7">
            <v>1</v>
          </cell>
        </row>
      </sheetData>
      <sheetData sheetId="37"/>
      <sheetData sheetId="38"/>
      <sheetData sheetId="39"/>
      <sheetData sheetId="40"/>
      <sheetData sheetId="41"/>
      <sheetData sheetId="42">
        <row r="23">
          <cell r="C23" t="str">
            <v>Requirements Group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 Template"/>
      <sheetName val="Matrix"/>
      <sheetName val="Risk Categories"/>
    </sheetNames>
    <sheetDataSet>
      <sheetData sheetId="0" refreshError="1"/>
      <sheetData sheetId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</row>
        <row r="5">
          <cell r="B5">
            <v>1</v>
          </cell>
          <cell r="C5" t="str">
            <v>Low</v>
          </cell>
          <cell r="D5" t="str">
            <v>Low</v>
          </cell>
          <cell r="E5" t="str">
            <v>Low</v>
          </cell>
          <cell r="F5" t="str">
            <v>Low</v>
          </cell>
          <cell r="G5" t="str">
            <v>Low</v>
          </cell>
          <cell r="H5" t="str">
            <v>Low</v>
          </cell>
          <cell r="I5" t="str">
            <v>Low</v>
          </cell>
          <cell r="J5" t="str">
            <v>Low</v>
          </cell>
          <cell r="K5" t="str">
            <v>Low</v>
          </cell>
          <cell r="N5">
            <v>1</v>
          </cell>
          <cell r="O5" t="str">
            <v>Very Unlikely</v>
          </cell>
          <cell r="T5">
            <v>1</v>
          </cell>
          <cell r="U5" t="str">
            <v>Negligible</v>
          </cell>
        </row>
        <row r="6">
          <cell r="B6">
            <v>2</v>
          </cell>
          <cell r="C6" t="str">
            <v>Low</v>
          </cell>
          <cell r="D6" t="str">
            <v>Low</v>
          </cell>
          <cell r="E6" t="str">
            <v>Low</v>
          </cell>
          <cell r="F6" t="str">
            <v>Low</v>
          </cell>
          <cell r="G6" t="str">
            <v>Low</v>
          </cell>
          <cell r="H6" t="str">
            <v>Low</v>
          </cell>
          <cell r="I6" t="str">
            <v>Low</v>
          </cell>
          <cell r="J6" t="str">
            <v>Low</v>
          </cell>
          <cell r="K6" t="str">
            <v>Low</v>
          </cell>
          <cell r="N6">
            <v>3</v>
          </cell>
          <cell r="O6" t="str">
            <v>Unlikely</v>
          </cell>
          <cell r="T6">
            <v>3</v>
          </cell>
          <cell r="U6" t="str">
            <v>Marginal</v>
          </cell>
        </row>
        <row r="7">
          <cell r="B7">
            <v>3</v>
          </cell>
          <cell r="C7" t="str">
            <v>Low</v>
          </cell>
          <cell r="D7" t="str">
            <v>Low</v>
          </cell>
          <cell r="E7" t="str">
            <v>Low</v>
          </cell>
          <cell r="F7" t="str">
            <v>Low</v>
          </cell>
          <cell r="G7" t="str">
            <v>Moderate</v>
          </cell>
          <cell r="H7" t="str">
            <v>Moderate</v>
          </cell>
          <cell r="I7" t="str">
            <v>Moderate</v>
          </cell>
          <cell r="J7" t="str">
            <v>Moderate</v>
          </cell>
          <cell r="K7" t="str">
            <v>Moderate</v>
          </cell>
          <cell r="N7">
            <v>5</v>
          </cell>
          <cell r="O7" t="str">
            <v>Likely</v>
          </cell>
          <cell r="T7">
            <v>5</v>
          </cell>
          <cell r="U7" t="str">
            <v>Significant</v>
          </cell>
        </row>
        <row r="8">
          <cell r="B8">
            <v>4</v>
          </cell>
          <cell r="C8" t="str">
            <v>Low</v>
          </cell>
          <cell r="D8" t="str">
            <v>Low</v>
          </cell>
          <cell r="E8" t="str">
            <v>Low</v>
          </cell>
          <cell r="F8" t="str">
            <v>Low</v>
          </cell>
          <cell r="G8" t="str">
            <v>Moderate</v>
          </cell>
          <cell r="H8" t="str">
            <v>Moderate</v>
          </cell>
          <cell r="I8" t="str">
            <v>Moderate</v>
          </cell>
          <cell r="J8" t="str">
            <v>Moderate</v>
          </cell>
          <cell r="K8" t="str">
            <v>Moderate</v>
          </cell>
          <cell r="N8">
            <v>7</v>
          </cell>
          <cell r="O8" t="str">
            <v>Very Likely</v>
          </cell>
          <cell r="T8">
            <v>7</v>
          </cell>
          <cell r="U8" t="str">
            <v>Critical</v>
          </cell>
        </row>
        <row r="9">
          <cell r="B9">
            <v>5</v>
          </cell>
          <cell r="C9" t="str">
            <v>Low</v>
          </cell>
          <cell r="D9" t="str">
            <v>Low</v>
          </cell>
          <cell r="E9" t="str">
            <v>Low</v>
          </cell>
          <cell r="F9" t="str">
            <v>Low</v>
          </cell>
          <cell r="G9" t="str">
            <v>Moderate</v>
          </cell>
          <cell r="H9" t="str">
            <v>Moderate</v>
          </cell>
          <cell r="I9" t="str">
            <v>Moderate</v>
          </cell>
          <cell r="J9" t="str">
            <v>Moderate</v>
          </cell>
          <cell r="K9" t="str">
            <v>High</v>
          </cell>
          <cell r="N9">
            <v>9</v>
          </cell>
          <cell r="O9" t="str">
            <v>Almost Certain</v>
          </cell>
          <cell r="T9">
            <v>9</v>
          </cell>
          <cell r="U9" t="str">
            <v>Crisis</v>
          </cell>
        </row>
        <row r="10">
          <cell r="B10">
            <v>6</v>
          </cell>
          <cell r="C10" t="str">
            <v>Low</v>
          </cell>
          <cell r="D10" t="str">
            <v>Low</v>
          </cell>
          <cell r="E10" t="str">
            <v>Moderate</v>
          </cell>
          <cell r="F10" t="str">
            <v>Moderate</v>
          </cell>
          <cell r="G10" t="str">
            <v>Moderate</v>
          </cell>
          <cell r="H10" t="str">
            <v>Moderate</v>
          </cell>
          <cell r="I10" t="str">
            <v>Moderate</v>
          </cell>
          <cell r="J10" t="str">
            <v>Moderate</v>
          </cell>
          <cell r="K10" t="str">
            <v>High</v>
          </cell>
        </row>
        <row r="11">
          <cell r="B11">
            <v>7</v>
          </cell>
          <cell r="C11" t="str">
            <v>Low</v>
          </cell>
          <cell r="D11" t="str">
            <v>Low</v>
          </cell>
          <cell r="E11" t="str">
            <v>Moderate</v>
          </cell>
          <cell r="F11" t="str">
            <v>Moderate</v>
          </cell>
          <cell r="G11" t="str">
            <v>Moderate</v>
          </cell>
          <cell r="H11" t="str">
            <v>Moderate</v>
          </cell>
          <cell r="I11" t="str">
            <v>High</v>
          </cell>
          <cell r="J11" t="str">
            <v>High</v>
          </cell>
          <cell r="K11" t="str">
            <v>High</v>
          </cell>
        </row>
        <row r="12">
          <cell r="B12">
            <v>8</v>
          </cell>
          <cell r="C12" t="str">
            <v>Low</v>
          </cell>
          <cell r="D12" t="str">
            <v>Low</v>
          </cell>
          <cell r="E12" t="str">
            <v>Moderate</v>
          </cell>
          <cell r="F12" t="str">
            <v>Moderate</v>
          </cell>
          <cell r="G12" t="str">
            <v>Moderate</v>
          </cell>
          <cell r="H12" t="str">
            <v>Moderate</v>
          </cell>
          <cell r="I12" t="str">
            <v>High</v>
          </cell>
          <cell r="J12" t="str">
            <v>High</v>
          </cell>
          <cell r="K12" t="str">
            <v>High</v>
          </cell>
        </row>
        <row r="13">
          <cell r="B13">
            <v>9</v>
          </cell>
          <cell r="C13" t="str">
            <v>Low</v>
          </cell>
          <cell r="D13" t="str">
            <v>Low</v>
          </cell>
          <cell r="E13" t="str">
            <v>Moderate</v>
          </cell>
          <cell r="F13" t="str">
            <v>Moderate</v>
          </cell>
          <cell r="G13" t="str">
            <v>High</v>
          </cell>
          <cell r="H13" t="str">
            <v>High</v>
          </cell>
          <cell r="I13" t="str">
            <v>High</v>
          </cell>
          <cell r="J13" t="str">
            <v>High</v>
          </cell>
          <cell r="K13" t="str">
            <v>High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Plan"/>
      <sheetName val="Project Contract"/>
      <sheetName val="Mentor Work Agreement"/>
      <sheetName val="Mentoring Success Factors"/>
      <sheetName val="Project Completion"/>
      <sheetName val="Includes-Excludes"/>
      <sheetName val="SIPOC"/>
      <sheetName val="Attribute Capability"/>
      <sheetName val="FMEA-Improvement Plan"/>
      <sheetName val="Pareto-FOV"/>
      <sheetName val="KPIV List"/>
      <sheetName val="Control Plan"/>
      <sheetName val="Revision History"/>
    </sheetNames>
    <sheetDataSet>
      <sheetData sheetId="0">
        <row r="4">
          <cell r="C4" t="str">
            <v>Project Team Established</v>
          </cell>
          <cell r="D4">
            <v>37987</v>
          </cell>
        </row>
        <row r="5">
          <cell r="B5" t="str">
            <v>2. Select CTS Characteristic / Set Goal</v>
          </cell>
          <cell r="C5" t="str">
            <v>CTS Flow Down</v>
          </cell>
          <cell r="D5">
            <v>37987</v>
          </cell>
        </row>
        <row r="6">
          <cell r="C6" t="str">
            <v>Defined Project Ys</v>
          </cell>
          <cell r="D6">
            <v>37994</v>
          </cell>
        </row>
        <row r="7">
          <cell r="C7" t="str">
            <v>Defined Project Scope</v>
          </cell>
          <cell r="D7">
            <v>37994</v>
          </cell>
        </row>
        <row r="8">
          <cell r="C8" t="str">
            <v>Baseline Financials Completed</v>
          </cell>
          <cell r="D8">
            <v>37994</v>
          </cell>
        </row>
        <row r="9">
          <cell r="B9" t="str">
            <v>3. Define Process / Preliminary Families of Variation</v>
          </cell>
          <cell r="C9" t="str">
            <v>SIPOC</v>
          </cell>
          <cell r="D9">
            <v>38001</v>
          </cell>
        </row>
        <row r="10">
          <cell r="C10" t="str">
            <v>Detailed Process Map</v>
          </cell>
          <cell r="D10">
            <v>38001</v>
          </cell>
        </row>
        <row r="11">
          <cell r="B11" t="str">
            <v>4.  Validate Y's Measurement System</v>
          </cell>
          <cell r="C11" t="str">
            <v>Validated Y's Measurement System</v>
          </cell>
          <cell r="D11">
            <v>38008</v>
          </cell>
        </row>
        <row r="12">
          <cell r="B12" t="str">
            <v>5. Establish Baseline Capability</v>
          </cell>
          <cell r="C12" t="str">
            <v>Baseline Process Capability Determined</v>
          </cell>
          <cell r="D12">
            <v>38008</v>
          </cell>
        </row>
        <row r="13">
          <cell r="B13" t="str">
            <v>6. Define Performance Objectives</v>
          </cell>
          <cell r="C13" t="str">
            <v>Updated Financials</v>
          </cell>
          <cell r="D13">
            <v>38008</v>
          </cell>
        </row>
      </sheetData>
      <sheetData sheetId="1">
        <row r="65">
          <cell r="B65" t="str">
            <v>Individual</v>
          </cell>
        </row>
        <row r="66">
          <cell r="B66" t="str">
            <v>Team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Plan"/>
      <sheetName val="Project Contract"/>
      <sheetName val="Mentor Work Agreement"/>
      <sheetName val="Mentoring Success Factors"/>
      <sheetName val="Project Completion"/>
      <sheetName val="Includes-Excludes"/>
      <sheetName val="SIPOC"/>
      <sheetName val="Attribute Capability"/>
      <sheetName val="FMEA-Improvement Plan"/>
      <sheetName val="Pareto-FOV"/>
      <sheetName val="KPIV List"/>
      <sheetName val="Control Plan"/>
      <sheetName val="Revision History"/>
    </sheetNames>
    <sheetDataSet>
      <sheetData sheetId="0">
        <row r="4">
          <cell r="C4" t="str">
            <v>Project Team Established</v>
          </cell>
          <cell r="D4">
            <v>37987</v>
          </cell>
        </row>
        <row r="5">
          <cell r="B5" t="str">
            <v>2. Select CTS Characteristic / Set Goal</v>
          </cell>
          <cell r="C5" t="str">
            <v>CTS Flow Down</v>
          </cell>
          <cell r="D5">
            <v>37987</v>
          </cell>
        </row>
        <row r="6">
          <cell r="C6" t="str">
            <v>Defined Project Ys</v>
          </cell>
          <cell r="D6">
            <v>37994</v>
          </cell>
        </row>
        <row r="7">
          <cell r="C7" t="str">
            <v>Defined Project Scope</v>
          </cell>
          <cell r="D7">
            <v>37994</v>
          </cell>
        </row>
        <row r="8">
          <cell r="C8" t="str">
            <v>Baseline Financials Completed</v>
          </cell>
          <cell r="D8">
            <v>37994</v>
          </cell>
        </row>
        <row r="9">
          <cell r="B9" t="str">
            <v>3. Define Process / Preliminary Families of Variation</v>
          </cell>
          <cell r="C9" t="str">
            <v>SIPOC</v>
          </cell>
          <cell r="D9">
            <v>38001</v>
          </cell>
        </row>
        <row r="10">
          <cell r="C10" t="str">
            <v>Detailed Process Map</v>
          </cell>
          <cell r="D10">
            <v>38001</v>
          </cell>
        </row>
        <row r="11">
          <cell r="B11" t="str">
            <v>4.  Validate Y's Measurement System</v>
          </cell>
          <cell r="C11" t="str">
            <v>Validated Y's Measurement System</v>
          </cell>
          <cell r="D11">
            <v>38008</v>
          </cell>
        </row>
        <row r="12">
          <cell r="B12" t="str">
            <v>5. Establish Baseline Capability</v>
          </cell>
          <cell r="C12" t="str">
            <v>Baseline Process Capability Determined</v>
          </cell>
          <cell r="D12">
            <v>38008</v>
          </cell>
        </row>
        <row r="13">
          <cell r="B13" t="str">
            <v>6. Define Performance Objectives</v>
          </cell>
          <cell r="C13" t="str">
            <v>Updated Financials</v>
          </cell>
          <cell r="D13">
            <v>38008</v>
          </cell>
        </row>
      </sheetData>
      <sheetData sheetId="1">
        <row r="65">
          <cell r="B65" t="str">
            <v>Individual</v>
          </cell>
        </row>
        <row r="66">
          <cell r="B66" t="str">
            <v>Team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ic Data"/>
      <sheetName val="Defaults"/>
      <sheetName val="Help Context"/>
      <sheetName val="Main_Code"/>
      <sheetName val="c_GetAndCheckMultipleData"/>
      <sheetName val="IndTest"/>
      <sheetName val="c_OptionsMultiple"/>
      <sheetName val="Multiple Chart Data Format Dial"/>
      <sheetName val="gage Dialog"/>
      <sheetName val="Ind Dialog"/>
      <sheetName val="gage Create"/>
      <sheetName val="Control Charts Dialog"/>
      <sheetName val="Distro"/>
      <sheetName val="c_GenerateControlChart"/>
      <sheetName val="getXandY Dialog"/>
      <sheetName val="c_GetAndCheckIMRData"/>
      <sheetName val="c_OptionsIMR"/>
      <sheetName val="c_GetAndCheckpData"/>
      <sheetName val="c_Optionsp"/>
      <sheetName val="c_7Checking"/>
      <sheetName val="c_GetSampleSizeDialog"/>
      <sheetName val="c_HandleSingleColumns"/>
      <sheetName val="c_GetAndCheckXRXSData"/>
      <sheetName val="c_OptionsXR"/>
      <sheetName val="m_CorrelationMatrix"/>
      <sheetName val="CorrelationRowsOrColumns"/>
      <sheetName val="m_MultipleRegression"/>
      <sheetName val="WhichCpk Dialog"/>
      <sheetName val="d_GenerateDiagrams"/>
      <sheetName val="InRowsOrColumns Dialog"/>
      <sheetName val="d_GetLegendAndTitle"/>
      <sheetName val="Legend And Title Dialog"/>
      <sheetName val="d_GetAndCheckParetoData"/>
      <sheetName val="d_OptionsPareto"/>
      <sheetName val="Par Dialog"/>
      <sheetName val="hist Dialog"/>
      <sheetName val="d_GetAndCheckHistogramData"/>
      <sheetName val="d_OptionsHistogram"/>
      <sheetName val="d_GetAndCheckScatterData"/>
      <sheetName val="d_OptionsScatter"/>
      <sheetName val="scat Dialog"/>
      <sheetName val="cpk Dialog"/>
      <sheetName val="d_GetAndCheckCPKData"/>
      <sheetName val="d_OptionsCPK"/>
      <sheetName val="Special Cpk"/>
      <sheetName val="Special Cpk Dialog"/>
      <sheetName val="d_OptionsCDF"/>
      <sheetName val="CDF Dialog"/>
      <sheetName val="Cusum Dialog"/>
      <sheetName val="Process Summary Dialog"/>
      <sheetName val="Product Report Dialog"/>
      <sheetName val="About Dialog"/>
      <sheetName val="TypeControlLimits Dialog"/>
      <sheetName val="Diagrams Dialog"/>
      <sheetName val="c_GetTypeControlLimits"/>
      <sheetName val="d_GetAndCheckStatsData"/>
      <sheetName val="PRO_CusumChart"/>
      <sheetName val="d_OptionsStats"/>
      <sheetName val="PRO_CusumGetOptions"/>
      <sheetName val="B98_SixSigmaReports"/>
      <sheetName val="B98_ComputeControlChartStats"/>
      <sheetName val="B98_HistogramAndCurveFunctions"/>
      <sheetName val="B98_CapabilityIndicies"/>
      <sheetName val="B98_ProductReports"/>
      <sheetName val="B98_IndividualControlLimits"/>
      <sheetName val="ComputeSigmaCapability"/>
      <sheetName val="SPC97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rWks_DataSheet"/>
      <sheetName val="tmlWks_Tool Roadmap"/>
      <sheetName val="tmlWks_Project Charter"/>
      <sheetName val="wksSIPOC"/>
      <sheetName val="tmlWks_FMEA"/>
      <sheetName val="wksCauseEffect"/>
      <sheetName val="tmlWks_Control Plan Mfg"/>
      <sheetName val="tmlWks_Control Plan Trans"/>
      <sheetName val="tmlWks_HOQ"/>
      <sheetName val="tmlWks_Pugh Matrix"/>
      <sheetName val="tmlWks_Scorecard"/>
      <sheetName val="tmlWks_Scorecard_Simple"/>
      <sheetName val="tmlWks_Yield Analyzer"/>
      <sheetName val="tmlWks_test variance - standard"/>
      <sheetName val="tmlWks_test two variances"/>
      <sheetName val="tmlWks_test paired data"/>
      <sheetName val="tmlWks_test two proportions"/>
      <sheetName val="tmlWks_test two means - ind"/>
      <sheetName val="tmlWks_Process Cap Converter"/>
      <sheetName val="tmlWks_Sigma Level Converter"/>
      <sheetName val="tmlWks_GageRR"/>
      <sheetName val="tmlWks_Paired(Rep) Meas Study"/>
      <sheetName val="tmlWks_Attribute Matching Study"/>
      <sheetName val="wksMultiBoxPlot"/>
      <sheetName val="wksPareto"/>
      <sheetName val="wksXbar-Range"/>
      <sheetName val="wksP-Chart"/>
      <sheetName val="wksHistogram"/>
      <sheetName val="wksCapAnalysis"/>
      <sheetName val="wksCapAnalysisNonNormal"/>
      <sheetName val="wksCapAnalysisBinomial"/>
      <sheetName val="wksScatterPlot"/>
      <sheetName val="wksRunChart"/>
      <sheetName val="wksDOEAnalysis"/>
      <sheetName val="wksFactorial"/>
      <sheetName val="wksMRegression"/>
      <sheetName val="wksBlank"/>
      <sheetName val="wksEnabledMenu"/>
      <sheetName val="wksDisabledMenu"/>
      <sheetName val="tmlWks_Tolerance Analysis"/>
      <sheetName val="wksTolSimLin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3">
          <cell r="C23" t="str">
            <v>Requirements Group</v>
          </cell>
          <cell r="F23" t="str">
            <v>Desirability Index</v>
          </cell>
        </row>
        <row r="24">
          <cell r="F24" t="str">
            <v/>
          </cell>
        </row>
        <row r="25">
          <cell r="F25" t="str">
            <v/>
          </cell>
        </row>
        <row r="26">
          <cell r="F26" t="str">
            <v/>
          </cell>
        </row>
        <row r="27">
          <cell r="F27" t="str">
            <v/>
          </cell>
        </row>
        <row r="28">
          <cell r="F28" t="str">
            <v/>
          </cell>
        </row>
        <row r="29">
          <cell r="F29" t="str">
            <v/>
          </cell>
        </row>
        <row r="30">
          <cell r="F30" t="str">
            <v/>
          </cell>
        </row>
        <row r="31">
          <cell r="F31" t="str">
            <v/>
          </cell>
        </row>
        <row r="32">
          <cell r="F32" t="str">
            <v/>
          </cell>
        </row>
        <row r="35">
          <cell r="C35" t="str">
            <v/>
          </cell>
        </row>
        <row r="36">
          <cell r="C36" t="str">
            <v>Detail Requirements</v>
          </cell>
          <cell r="F36" t="str">
            <v>Desirability, d</v>
          </cell>
          <cell r="L36" t="str">
            <v>Actual Level (StDev)</v>
          </cell>
        </row>
        <row r="37">
          <cell r="B37">
            <v>1.1000000000000001</v>
          </cell>
          <cell r="F37" t="str">
            <v/>
          </cell>
          <cell r="P37">
            <v>0</v>
          </cell>
          <cell r="Q37">
            <v>1</v>
          </cell>
          <cell r="R37" t="str">
            <v/>
          </cell>
          <cell r="S37">
            <v>1</v>
          </cell>
          <cell r="T37">
            <v>0</v>
          </cell>
          <cell r="U37">
            <v>1</v>
          </cell>
        </row>
        <row r="38">
          <cell r="F38" t="str">
            <v/>
          </cell>
          <cell r="P38">
            <v>0</v>
          </cell>
          <cell r="Q38">
            <v>1</v>
          </cell>
          <cell r="R38" t="str">
            <v/>
          </cell>
          <cell r="S38">
            <v>1</v>
          </cell>
          <cell r="T38">
            <v>0</v>
          </cell>
          <cell r="U38">
            <v>1</v>
          </cell>
        </row>
        <row r="39">
          <cell r="F39" t="str">
            <v/>
          </cell>
        </row>
        <row r="42">
          <cell r="C42" t="str">
            <v/>
          </cell>
        </row>
        <row r="43">
          <cell r="C43" t="str">
            <v>Detail Requirements</v>
          </cell>
          <cell r="F43" t="str">
            <v>Desirability, d</v>
          </cell>
          <cell r="L43" t="str">
            <v>Actual Level (StDev)</v>
          </cell>
        </row>
        <row r="44">
          <cell r="B44">
            <v>2.1</v>
          </cell>
          <cell r="F44" t="str">
            <v/>
          </cell>
          <cell r="P44">
            <v>0</v>
          </cell>
          <cell r="Q44">
            <v>1</v>
          </cell>
          <cell r="R44" t="str">
            <v/>
          </cell>
          <cell r="S44">
            <v>1</v>
          </cell>
          <cell r="T44">
            <v>0</v>
          </cell>
          <cell r="U44">
            <v>1</v>
          </cell>
        </row>
        <row r="45">
          <cell r="F45" t="str">
            <v/>
          </cell>
          <cell r="P45">
            <v>0</v>
          </cell>
          <cell r="Q45">
            <v>1</v>
          </cell>
          <cell r="R45" t="str">
            <v/>
          </cell>
          <cell r="S45">
            <v>1</v>
          </cell>
          <cell r="T45">
            <v>0</v>
          </cell>
          <cell r="U45">
            <v>1</v>
          </cell>
        </row>
        <row r="46">
          <cell r="F46" t="str">
            <v/>
          </cell>
        </row>
        <row r="49">
          <cell r="C49" t="str">
            <v/>
          </cell>
        </row>
        <row r="50">
          <cell r="C50" t="str">
            <v>Detail Requirements</v>
          </cell>
          <cell r="F50" t="str">
            <v>Desirability, d</v>
          </cell>
          <cell r="L50" t="str">
            <v>Actual Level (StDev)</v>
          </cell>
        </row>
        <row r="51">
          <cell r="B51">
            <v>3.1</v>
          </cell>
          <cell r="F51" t="str">
            <v/>
          </cell>
          <cell r="P51">
            <v>0</v>
          </cell>
          <cell r="Q51">
            <v>1</v>
          </cell>
          <cell r="R51" t="str">
            <v/>
          </cell>
          <cell r="S51">
            <v>1</v>
          </cell>
          <cell r="T51">
            <v>0</v>
          </cell>
          <cell r="U51">
            <v>1</v>
          </cell>
        </row>
        <row r="52">
          <cell r="F52" t="str">
            <v/>
          </cell>
          <cell r="P52">
            <v>0</v>
          </cell>
          <cell r="Q52">
            <v>1</v>
          </cell>
          <cell r="R52" t="str">
            <v/>
          </cell>
          <cell r="S52">
            <v>1</v>
          </cell>
          <cell r="T52">
            <v>0</v>
          </cell>
          <cell r="U52">
            <v>1</v>
          </cell>
        </row>
        <row r="53">
          <cell r="F53" t="str">
            <v/>
          </cell>
        </row>
        <row r="56">
          <cell r="C56" t="str">
            <v/>
          </cell>
        </row>
        <row r="57">
          <cell r="C57" t="str">
            <v>Detail Requirements</v>
          </cell>
          <cell r="F57" t="str">
            <v>Desirability, d</v>
          </cell>
          <cell r="L57" t="str">
            <v>Actual Level (StDev)</v>
          </cell>
        </row>
        <row r="58">
          <cell r="B58">
            <v>4.0999999999999996</v>
          </cell>
          <cell r="F58" t="str">
            <v/>
          </cell>
          <cell r="P58">
            <v>0</v>
          </cell>
          <cell r="Q58">
            <v>1</v>
          </cell>
          <cell r="R58" t="str">
            <v/>
          </cell>
          <cell r="S58">
            <v>1</v>
          </cell>
          <cell r="T58">
            <v>0</v>
          </cell>
          <cell r="U58">
            <v>1</v>
          </cell>
        </row>
        <row r="59">
          <cell r="F59" t="str">
            <v/>
          </cell>
          <cell r="P59">
            <v>0</v>
          </cell>
          <cell r="Q59">
            <v>1</v>
          </cell>
          <cell r="R59" t="str">
            <v/>
          </cell>
          <cell r="S59">
            <v>1</v>
          </cell>
          <cell r="T59">
            <v>0</v>
          </cell>
          <cell r="U59">
            <v>1</v>
          </cell>
        </row>
        <row r="60">
          <cell r="F60" t="str">
            <v/>
          </cell>
        </row>
        <row r="63">
          <cell r="C63" t="str">
            <v/>
          </cell>
        </row>
        <row r="64">
          <cell r="C64" t="str">
            <v>Detail Requirements</v>
          </cell>
          <cell r="F64" t="str">
            <v>Desirability, d</v>
          </cell>
          <cell r="L64" t="str">
            <v>Actual Level (StDev)</v>
          </cell>
        </row>
        <row r="65">
          <cell r="B65">
            <v>5.0999999999999996</v>
          </cell>
          <cell r="F65" t="str">
            <v/>
          </cell>
          <cell r="P65">
            <v>0</v>
          </cell>
          <cell r="Q65">
            <v>1</v>
          </cell>
          <cell r="R65" t="str">
            <v/>
          </cell>
          <cell r="S65">
            <v>1</v>
          </cell>
          <cell r="T65">
            <v>0</v>
          </cell>
          <cell r="U65">
            <v>1</v>
          </cell>
        </row>
        <row r="66">
          <cell r="F66" t="str">
            <v/>
          </cell>
          <cell r="P66">
            <v>0</v>
          </cell>
          <cell r="Q66">
            <v>1</v>
          </cell>
          <cell r="R66" t="str">
            <v/>
          </cell>
          <cell r="S66">
            <v>1</v>
          </cell>
          <cell r="T66">
            <v>0</v>
          </cell>
          <cell r="U66">
            <v>1</v>
          </cell>
        </row>
        <row r="67">
          <cell r="F67" t="str">
            <v/>
          </cell>
        </row>
        <row r="70">
          <cell r="C70" t="str">
            <v/>
          </cell>
        </row>
        <row r="71">
          <cell r="C71" t="str">
            <v>Detail Requirements</v>
          </cell>
          <cell r="F71" t="str">
            <v>Desirability, d</v>
          </cell>
          <cell r="L71" t="str">
            <v>Actual Level (StDev)</v>
          </cell>
        </row>
        <row r="72">
          <cell r="B72">
            <v>6.1</v>
          </cell>
          <cell r="F72" t="str">
            <v/>
          </cell>
          <cell r="P72">
            <v>0</v>
          </cell>
          <cell r="Q72">
            <v>1</v>
          </cell>
          <cell r="R72" t="str">
            <v/>
          </cell>
          <cell r="S72">
            <v>1</v>
          </cell>
          <cell r="T72">
            <v>0</v>
          </cell>
          <cell r="U72">
            <v>1</v>
          </cell>
        </row>
        <row r="73">
          <cell r="F73" t="str">
            <v/>
          </cell>
          <cell r="P73">
            <v>0</v>
          </cell>
          <cell r="Q73">
            <v>1</v>
          </cell>
          <cell r="R73" t="str">
            <v/>
          </cell>
          <cell r="S73">
            <v>1</v>
          </cell>
          <cell r="T73">
            <v>0</v>
          </cell>
          <cell r="U73">
            <v>1</v>
          </cell>
        </row>
        <row r="74">
          <cell r="F74" t="str">
            <v/>
          </cell>
        </row>
        <row r="77">
          <cell r="C77" t="str">
            <v/>
          </cell>
        </row>
        <row r="78">
          <cell r="C78" t="str">
            <v>Detail Requirements</v>
          </cell>
          <cell r="F78" t="str">
            <v>Desirability, d</v>
          </cell>
          <cell r="L78" t="str">
            <v>Actual Level (StDev)</v>
          </cell>
        </row>
        <row r="79">
          <cell r="B79">
            <v>7.1</v>
          </cell>
          <cell r="F79" t="str">
            <v/>
          </cell>
          <cell r="P79">
            <v>0</v>
          </cell>
          <cell r="Q79">
            <v>1</v>
          </cell>
          <cell r="R79" t="str">
            <v/>
          </cell>
          <cell r="S79">
            <v>1</v>
          </cell>
          <cell r="T79">
            <v>0</v>
          </cell>
          <cell r="U79">
            <v>1</v>
          </cell>
        </row>
        <row r="80">
          <cell r="F80" t="str">
            <v/>
          </cell>
          <cell r="P80">
            <v>0</v>
          </cell>
          <cell r="Q80">
            <v>1</v>
          </cell>
          <cell r="R80" t="str">
            <v/>
          </cell>
          <cell r="S80">
            <v>1</v>
          </cell>
          <cell r="T80">
            <v>0</v>
          </cell>
          <cell r="U80">
            <v>1</v>
          </cell>
        </row>
        <row r="81">
          <cell r="F81" t="str">
            <v/>
          </cell>
        </row>
        <row r="84">
          <cell r="C84" t="str">
            <v/>
          </cell>
        </row>
        <row r="85">
          <cell r="C85" t="str">
            <v>Detail Requirements</v>
          </cell>
          <cell r="F85" t="str">
            <v>Desirability, d</v>
          </cell>
          <cell r="L85" t="str">
            <v>Actual Level (StDev)</v>
          </cell>
        </row>
        <row r="86">
          <cell r="B86">
            <v>8.1</v>
          </cell>
          <cell r="F86" t="str">
            <v/>
          </cell>
          <cell r="P86">
            <v>0</v>
          </cell>
          <cell r="Q86">
            <v>1</v>
          </cell>
          <cell r="R86" t="str">
            <v/>
          </cell>
          <cell r="S86">
            <v>1</v>
          </cell>
          <cell r="T86">
            <v>0</v>
          </cell>
          <cell r="U86">
            <v>1</v>
          </cell>
        </row>
        <row r="87">
          <cell r="F87" t="str">
            <v/>
          </cell>
          <cell r="P87">
            <v>0</v>
          </cell>
          <cell r="Q87">
            <v>1</v>
          </cell>
          <cell r="R87" t="str">
            <v/>
          </cell>
          <cell r="S87">
            <v>1</v>
          </cell>
          <cell r="T87">
            <v>0</v>
          </cell>
          <cell r="U87">
            <v>1</v>
          </cell>
        </row>
        <row r="88">
          <cell r="F88" t="str">
            <v/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AB2">
            <v>1</v>
          </cell>
        </row>
      </sheetData>
      <sheetData sheetId="28">
        <row r="2">
          <cell r="AB2" t="e">
            <v>#DIV/0!</v>
          </cell>
        </row>
      </sheetData>
      <sheetData sheetId="29">
        <row r="2">
          <cell r="AB2" t="e">
            <v>#DIV/0!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3">
          <cell r="I3" t="str">
            <v>Other Generic Assumptions</v>
          </cell>
        </row>
        <row r="9">
          <cell r="G9" t="str">
            <v>+/- t</v>
          </cell>
          <cell r="I9" t="str">
            <v>Lower (LSL)</v>
          </cell>
          <cell r="J9" t="str">
            <v>Upper (USL)</v>
          </cell>
        </row>
        <row r="13">
          <cell r="G13" t="str">
            <v>+/- t</v>
          </cell>
          <cell r="I13" t="str">
            <v>tLOWER (-)</v>
          </cell>
          <cell r="J13" t="str">
            <v>tUPPER (+)</v>
          </cell>
        </row>
        <row r="27">
          <cell r="I27" t="str">
            <v/>
          </cell>
          <cell r="J27" t="str">
            <v/>
          </cell>
        </row>
        <row r="31">
          <cell r="I31" t="str">
            <v/>
          </cell>
        </row>
        <row r="32">
          <cell r="I32" t="str">
            <v>LSL</v>
          </cell>
          <cell r="J32" t="str">
            <v>USL</v>
          </cell>
        </row>
        <row r="35">
          <cell r="I35" t="str">
            <v>% &lt; LSL</v>
          </cell>
          <cell r="J35" t="str">
            <v>% &gt; USL</v>
          </cell>
        </row>
        <row r="36">
          <cell r="I36" t="str">
            <v/>
          </cell>
          <cell r="J36" t="str">
            <v/>
          </cell>
        </row>
      </sheetData>
      <sheetData sheetId="4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AIC"/>
      <sheetName val="Breakthrough Strategy"/>
      <sheetName val="SS Project Plan"/>
      <sheetName val="Project Action Plan"/>
      <sheetName val="CTQ Template"/>
      <sheetName val="SIPOC"/>
      <sheetName val="SIPOC (blank)"/>
      <sheetName val="Process Analysis"/>
      <sheetName val="Fishbone"/>
      <sheetName val="Brainstorm "/>
      <sheetName val="FDM"/>
      <sheetName val="Risk Assessment"/>
      <sheetName val="Solution Evaluation Form"/>
      <sheetName val="Data Collection Plan"/>
      <sheetName val="Xs and Ys"/>
      <sheetName val="Timeline"/>
      <sheetName val="DOE 2^2 template"/>
      <sheetName val="DOE 2^3 template"/>
      <sheetName val="PPM"/>
      <sheetName val="no shift"/>
      <sheetName val="RTY"/>
      <sheetName val="DPMO Calculator"/>
      <sheetName val="DPMO&gt;Sig&gt;Cpk"/>
      <sheetName val="Six Sigma Project"/>
      <sheetName val="GC Plan"/>
      <sheetName val="HOQ"/>
      <sheetName val="C&amp;E Matrix"/>
      <sheetName val="FMEAInfo"/>
      <sheetName val="FMEA"/>
      <sheetName val="FSeverity"/>
      <sheetName val="FOccurance"/>
      <sheetName val="FDetection"/>
      <sheetName val="ControlPlan"/>
      <sheetName val="Process Control Plan"/>
      <sheetName val="SS Prvnt Mnt"/>
      <sheetName val="Outputs"/>
      <sheetName val="DFMEA Template"/>
      <sheetName val="Z-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B11">
            <v>8.3333333333333321</v>
          </cell>
          <cell r="C11">
            <v>-5</v>
          </cell>
          <cell r="D11">
            <v>1.6666666666666679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-Down"/>
      <sheetName val="Six Sigma Project"/>
    </sheetNames>
    <sheetDataSet>
      <sheetData sheetId="0">
        <row r="2">
          <cell r="A2" t="str">
            <v>Complete</v>
          </cell>
        </row>
        <row r="3">
          <cell r="A3" t="str">
            <v>Working</v>
          </cell>
        </row>
        <row r="4">
          <cell r="A4" t="str">
            <v>Rescheduled</v>
          </cell>
        </row>
        <row r="5">
          <cell r="A5" t="str">
            <v>Canceled</v>
          </cell>
        </row>
      </sheetData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s"/>
      <sheetName val="usrWks_DataSheet"/>
      <sheetName val="tmlWks_test variance - standard"/>
      <sheetName val="tmlWks_test two variances"/>
      <sheetName val="tmlWks_test two means - ind"/>
      <sheetName val="tmlWks_test paired data"/>
      <sheetName val="tmlWks_Tool Roadmap"/>
      <sheetName val="tmlWks_DPM Calculator"/>
      <sheetName val="tmlWks_Sigma Level Converter"/>
      <sheetName val="tmlWks_Project Charter"/>
      <sheetName val="tmlWks_GageRR"/>
      <sheetName val="tmlWks_Repeated Meas Study"/>
      <sheetName val="tmlWks_Attribute Matching Study"/>
      <sheetName val="tmlWks_Control Plan"/>
      <sheetName val="tmlWks_FMEA"/>
      <sheetName val="rptWks_OutlierReport"/>
      <sheetName val="rptWks_ClusterAnalysis"/>
      <sheetName val="rptWks_Multi-DimensionAnalysis"/>
      <sheetName val="wksMultiBoxPlot"/>
      <sheetName val="wksParetoOLD"/>
      <sheetName val="wksPareto"/>
      <sheetName val="wksXbar-Range"/>
      <sheetName val="wksP-Chart"/>
      <sheetName val="wksHistogram"/>
      <sheetName val="wksCapAnalysis"/>
      <sheetName val="wksScatterPlot"/>
      <sheetName val="wksRunChart"/>
      <sheetName val="wksCommandB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AE2" t="e">
            <v>#DIV/0!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"/>
      <sheetName val="Chart"/>
      <sheetName val="Standards"/>
      <sheetName val="Implementation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>
        <row r="1">
          <cell r="J1" t="str">
            <v xml:space="preserve">Work Place Organization </v>
          </cell>
        </row>
        <row r="37">
          <cell r="A37" t="str">
            <v>Area:</v>
          </cell>
        </row>
        <row r="38">
          <cell r="A38" t="str">
            <v>Auditor(s):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C13F-107A-4FD5-83E0-586E49E14578}">
  <dimension ref="B1:H21"/>
  <sheetViews>
    <sheetView tabSelected="1" zoomScale="80" zoomScaleNormal="80" workbookViewId="0">
      <selection activeCell="K14" sqref="K14"/>
    </sheetView>
  </sheetViews>
  <sheetFormatPr baseColWidth="10" defaultColWidth="9.140625" defaultRowHeight="15" x14ac:dyDescent="0.25"/>
  <cols>
    <col min="1" max="1" width="3.85546875" style="1" customWidth="1"/>
    <col min="2" max="2" width="31" style="1" customWidth="1"/>
    <col min="3" max="3" width="26" style="1" customWidth="1"/>
    <col min="4" max="4" width="22.7109375" style="1" customWidth="1"/>
    <col min="5" max="5" width="25.42578125" style="1" customWidth="1"/>
    <col min="6" max="6" width="22" style="1" customWidth="1"/>
    <col min="7" max="7" width="19.5703125" style="1" customWidth="1"/>
    <col min="8" max="8" width="22.5703125" style="1" customWidth="1"/>
    <col min="9" max="16384" width="9.140625" style="1"/>
  </cols>
  <sheetData>
    <row r="1" spans="2:8" ht="15.75" thickBot="1" x14ac:dyDescent="0.3"/>
    <row r="2" spans="2:8" ht="34.5" customHeight="1" thickBot="1" x14ac:dyDescent="0.3">
      <c r="B2" s="255" t="s">
        <v>0</v>
      </c>
      <c r="C2" s="256"/>
      <c r="D2" s="256"/>
      <c r="E2" s="256"/>
      <c r="F2" s="256"/>
      <c r="G2" s="256"/>
      <c r="H2" s="257"/>
    </row>
    <row r="3" spans="2:8" ht="45" customHeight="1" x14ac:dyDescent="0.25">
      <c r="B3" s="250" t="s">
        <v>8</v>
      </c>
      <c r="C3" s="258" t="s">
        <v>1</v>
      </c>
      <c r="D3" s="260" t="s">
        <v>9</v>
      </c>
      <c r="E3" s="260" t="s">
        <v>10</v>
      </c>
      <c r="F3" s="260" t="s">
        <v>11</v>
      </c>
      <c r="G3" s="262" t="s">
        <v>2</v>
      </c>
      <c r="H3" s="253" t="s">
        <v>3</v>
      </c>
    </row>
    <row r="4" spans="2:8" ht="15.75" thickBot="1" x14ac:dyDescent="0.3">
      <c r="B4" s="251"/>
      <c r="C4" s="259"/>
      <c r="D4" s="261"/>
      <c r="E4" s="261"/>
      <c r="F4" s="261"/>
      <c r="G4" s="263"/>
      <c r="H4" s="253"/>
    </row>
    <row r="5" spans="2:8" x14ac:dyDescent="0.25">
      <c r="B5" s="251"/>
      <c r="C5" s="15" t="s">
        <v>4</v>
      </c>
      <c r="D5" s="16" t="s">
        <v>5</v>
      </c>
      <c r="E5" s="16" t="s">
        <v>4</v>
      </c>
      <c r="F5" s="16" t="s">
        <v>4</v>
      </c>
      <c r="G5" s="16" t="s">
        <v>4</v>
      </c>
      <c r="H5" s="253"/>
    </row>
    <row r="6" spans="2:8" ht="15.75" thickBot="1" x14ac:dyDescent="0.3">
      <c r="B6" s="252"/>
      <c r="C6" s="17" t="s">
        <v>6</v>
      </c>
      <c r="D6" s="18" t="s">
        <v>7</v>
      </c>
      <c r="E6" s="18" t="s">
        <v>6</v>
      </c>
      <c r="F6" s="18" t="s">
        <v>6</v>
      </c>
      <c r="G6" s="18" t="s">
        <v>6</v>
      </c>
      <c r="H6" s="254"/>
    </row>
    <row r="7" spans="2:8" x14ac:dyDescent="0.25">
      <c r="B7" s="2"/>
      <c r="C7" s="19"/>
      <c r="D7" s="3"/>
      <c r="E7" s="3"/>
      <c r="F7" s="3"/>
      <c r="G7" s="4"/>
      <c r="H7" s="5">
        <f t="shared" ref="H7:H17" si="0">C7*D7*E7*F7*G7</f>
        <v>0</v>
      </c>
    </row>
    <row r="8" spans="2:8" x14ac:dyDescent="0.25">
      <c r="B8" s="6"/>
      <c r="C8" s="20"/>
      <c r="D8" s="7"/>
      <c r="E8" s="7"/>
      <c r="F8" s="7"/>
      <c r="G8" s="8"/>
      <c r="H8" s="9">
        <f t="shared" si="0"/>
        <v>0</v>
      </c>
    </row>
    <row r="9" spans="2:8" x14ac:dyDescent="0.25">
      <c r="B9" s="10"/>
      <c r="C9" s="20"/>
      <c r="D9" s="7"/>
      <c r="E9" s="7"/>
      <c r="F9" s="7"/>
      <c r="G9" s="8"/>
      <c r="H9" s="9">
        <f t="shared" si="0"/>
        <v>0</v>
      </c>
    </row>
    <row r="10" spans="2:8" x14ac:dyDescent="0.25">
      <c r="B10" s="6"/>
      <c r="C10" s="20"/>
      <c r="D10" s="7"/>
      <c r="E10" s="7"/>
      <c r="F10" s="7"/>
      <c r="G10" s="8"/>
      <c r="H10" s="9">
        <f t="shared" si="0"/>
        <v>0</v>
      </c>
    </row>
    <row r="11" spans="2:8" x14ac:dyDescent="0.25">
      <c r="B11" s="10"/>
      <c r="C11" s="20"/>
      <c r="D11" s="7"/>
      <c r="E11" s="7"/>
      <c r="F11" s="7"/>
      <c r="G11" s="8"/>
      <c r="H11" s="9">
        <f t="shared" si="0"/>
        <v>0</v>
      </c>
    </row>
    <row r="12" spans="2:8" x14ac:dyDescent="0.25">
      <c r="B12" s="10"/>
      <c r="C12" s="20"/>
      <c r="D12" s="7"/>
      <c r="E12" s="7"/>
      <c r="F12" s="7"/>
      <c r="G12" s="8"/>
      <c r="H12" s="9">
        <f t="shared" si="0"/>
        <v>0</v>
      </c>
    </row>
    <row r="13" spans="2:8" x14ac:dyDescent="0.25">
      <c r="B13" s="10"/>
      <c r="C13" s="20"/>
      <c r="D13" s="7"/>
      <c r="E13" s="7"/>
      <c r="F13" s="7"/>
      <c r="G13" s="8"/>
      <c r="H13" s="9">
        <f t="shared" si="0"/>
        <v>0</v>
      </c>
    </row>
    <row r="14" spans="2:8" x14ac:dyDescent="0.25">
      <c r="B14" s="10"/>
      <c r="C14" s="20"/>
      <c r="D14" s="7"/>
      <c r="E14" s="7"/>
      <c r="F14" s="7"/>
      <c r="G14" s="8"/>
      <c r="H14" s="9">
        <f t="shared" si="0"/>
        <v>0</v>
      </c>
    </row>
    <row r="15" spans="2:8" x14ac:dyDescent="0.25">
      <c r="B15" s="10"/>
      <c r="C15" s="20"/>
      <c r="D15" s="7"/>
      <c r="E15" s="7"/>
      <c r="F15" s="7"/>
      <c r="G15" s="8"/>
      <c r="H15" s="9">
        <f t="shared" si="0"/>
        <v>0</v>
      </c>
    </row>
    <row r="16" spans="2:8" x14ac:dyDescent="0.25">
      <c r="B16" s="10"/>
      <c r="C16" s="20"/>
      <c r="D16" s="7"/>
      <c r="E16" s="7"/>
      <c r="F16" s="7"/>
      <c r="G16" s="8"/>
      <c r="H16" s="9">
        <f t="shared" si="0"/>
        <v>0</v>
      </c>
    </row>
    <row r="17" spans="2:8" ht="15.75" customHeight="1" thickBot="1" x14ac:dyDescent="0.3">
      <c r="B17" s="11"/>
      <c r="C17" s="21"/>
      <c r="D17" s="12"/>
      <c r="E17" s="12"/>
      <c r="F17" s="12"/>
      <c r="G17" s="13"/>
      <c r="H17" s="14">
        <f t="shared" si="0"/>
        <v>0</v>
      </c>
    </row>
    <row r="18" spans="2:8" ht="15.75" thickBot="1" x14ac:dyDescent="0.3"/>
    <row r="19" spans="2:8" x14ac:dyDescent="0.25">
      <c r="B19" s="238" t="s">
        <v>12</v>
      </c>
      <c r="C19" s="241"/>
      <c r="D19" s="242"/>
      <c r="E19" s="242"/>
      <c r="F19" s="242"/>
      <c r="G19" s="243"/>
    </row>
    <row r="20" spans="2:8" x14ac:dyDescent="0.25">
      <c r="B20" s="239"/>
      <c r="C20" s="244"/>
      <c r="D20" s="245"/>
      <c r="E20" s="245"/>
      <c r="F20" s="245"/>
      <c r="G20" s="246"/>
    </row>
    <row r="21" spans="2:8" ht="15.75" thickBot="1" x14ac:dyDescent="0.3">
      <c r="B21" s="240"/>
      <c r="C21" s="247"/>
      <c r="D21" s="248"/>
      <c r="E21" s="248"/>
      <c r="F21" s="248"/>
      <c r="G21" s="249"/>
    </row>
  </sheetData>
  <sortState xmlns:xlrd2="http://schemas.microsoft.com/office/spreadsheetml/2017/richdata2" ref="H7:H17">
    <sortCondition descending="1" ref="H7:H17"/>
  </sortState>
  <mergeCells count="10">
    <mergeCell ref="B19:B21"/>
    <mergeCell ref="C19:G21"/>
    <mergeCell ref="B3:B6"/>
    <mergeCell ref="H3:H6"/>
    <mergeCell ref="B2:H2"/>
    <mergeCell ref="C3:C4"/>
    <mergeCell ref="D3:D4"/>
    <mergeCell ref="E3:E4"/>
    <mergeCell ref="F3:F4"/>
    <mergeCell ref="G3:G4"/>
  </mergeCells>
  <conditionalFormatting sqref="H7:H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{7E3F6662-3E3A-4998-AA04-9D37260EFEC1}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3F6662-3E3A-4998-AA04-9D37260EFE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H7:H17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E90-6BC7-41B3-9477-6F6ECB7CB36E}">
  <dimension ref="B2:H63"/>
  <sheetViews>
    <sheetView zoomScale="80" zoomScaleNormal="80" workbookViewId="0">
      <selection activeCell="D11" sqref="D11"/>
    </sheetView>
  </sheetViews>
  <sheetFormatPr baseColWidth="10" defaultColWidth="9.140625" defaultRowHeight="15" x14ac:dyDescent="0.25"/>
  <cols>
    <col min="1" max="1" width="3" style="1" customWidth="1"/>
    <col min="2" max="2" width="5.28515625" style="1" customWidth="1"/>
    <col min="3" max="3" width="83.5703125" style="1" customWidth="1"/>
    <col min="4" max="4" width="72.5703125" style="1" customWidth="1"/>
    <col min="5" max="16384" width="9.140625" style="1"/>
  </cols>
  <sheetData>
    <row r="2" spans="2:8" ht="26.25" customHeight="1" x14ac:dyDescent="0.25">
      <c r="B2" s="274" t="s">
        <v>13</v>
      </c>
      <c r="C2" s="274"/>
      <c r="D2" s="274"/>
    </row>
    <row r="3" spans="2:8" x14ac:dyDescent="0.25">
      <c r="B3" s="275"/>
      <c r="C3" s="275"/>
      <c r="D3" s="275"/>
    </row>
    <row r="4" spans="2:8" ht="15" customHeight="1" x14ac:dyDescent="0.25">
      <c r="B4" s="276"/>
      <c r="C4" s="28" t="s">
        <v>55</v>
      </c>
      <c r="D4" s="28" t="s">
        <v>56</v>
      </c>
      <c r="E4" s="264"/>
    </row>
    <row r="5" spans="2:8" ht="27.75" customHeight="1" x14ac:dyDescent="0.25">
      <c r="B5" s="276"/>
      <c r="C5" s="265"/>
      <c r="D5" s="268"/>
      <c r="E5" s="264"/>
    </row>
    <row r="6" spans="2:8" ht="20.25" customHeight="1" x14ac:dyDescent="0.25">
      <c r="B6" s="276"/>
      <c r="C6" s="266"/>
      <c r="D6" s="268"/>
      <c r="E6" s="264"/>
      <c r="H6"/>
    </row>
    <row r="7" spans="2:8" ht="21.75" customHeight="1" x14ac:dyDescent="0.25">
      <c r="B7" s="276"/>
      <c r="C7" s="267"/>
      <c r="D7" s="268"/>
      <c r="E7" s="22"/>
    </row>
    <row r="8" spans="2:8" x14ac:dyDescent="0.25">
      <c r="B8" s="26"/>
      <c r="C8" s="23" t="s">
        <v>53</v>
      </c>
      <c r="D8" s="268"/>
      <c r="E8" s="22"/>
    </row>
    <row r="9" spans="2:8" x14ac:dyDescent="0.25">
      <c r="B9" s="26"/>
      <c r="C9" s="23" t="s">
        <v>16</v>
      </c>
      <c r="D9" s="268"/>
      <c r="E9" s="22"/>
    </row>
    <row r="10" spans="2:8" ht="145.5" customHeight="1" x14ac:dyDescent="0.25">
      <c r="B10" s="26"/>
      <c r="C10" s="32" t="s">
        <v>54</v>
      </c>
      <c r="D10" s="268"/>
      <c r="E10" s="22"/>
    </row>
    <row r="11" spans="2:8" ht="15.75" x14ac:dyDescent="0.25">
      <c r="B11" s="26"/>
      <c r="C11" s="27" t="s">
        <v>14</v>
      </c>
      <c r="D11" s="27" t="s">
        <v>15</v>
      </c>
    </row>
    <row r="12" spans="2:8" ht="18.75" customHeight="1" x14ac:dyDescent="0.25">
      <c r="B12" s="271" t="s">
        <v>57</v>
      </c>
      <c r="C12" s="23" t="s">
        <v>17</v>
      </c>
      <c r="D12" s="280" t="s">
        <v>21</v>
      </c>
    </row>
    <row r="13" spans="2:8" x14ac:dyDescent="0.25">
      <c r="B13" s="271"/>
      <c r="C13" s="23" t="s">
        <v>18</v>
      </c>
      <c r="D13" s="281"/>
    </row>
    <row r="14" spans="2:8" x14ac:dyDescent="0.25">
      <c r="B14" s="271"/>
      <c r="C14" s="25" t="s">
        <v>19</v>
      </c>
      <c r="D14" s="281"/>
    </row>
    <row r="15" spans="2:8" ht="12" customHeight="1" x14ac:dyDescent="0.25">
      <c r="B15" s="271"/>
      <c r="C15" s="269" t="s">
        <v>20</v>
      </c>
      <c r="D15" s="281"/>
    </row>
    <row r="16" spans="2:8" ht="12" customHeight="1" x14ac:dyDescent="0.25">
      <c r="B16" s="271"/>
      <c r="C16" s="270"/>
      <c r="D16" s="282"/>
    </row>
    <row r="17" spans="2:4" ht="12" customHeight="1" x14ac:dyDescent="0.25">
      <c r="B17" s="271"/>
      <c r="C17" s="271"/>
      <c r="D17" s="271"/>
    </row>
    <row r="18" spans="2:4" x14ac:dyDescent="0.25">
      <c r="B18" s="271" t="s">
        <v>58</v>
      </c>
      <c r="C18" s="277" t="s">
        <v>23</v>
      </c>
      <c r="D18" s="272" t="s">
        <v>22</v>
      </c>
    </row>
    <row r="19" spans="2:4" ht="11.25" customHeight="1" x14ac:dyDescent="0.25">
      <c r="B19" s="271"/>
      <c r="C19" s="286"/>
      <c r="D19" s="273"/>
    </row>
    <row r="20" spans="2:4" ht="12" customHeight="1" x14ac:dyDescent="0.25">
      <c r="B20" s="271"/>
      <c r="C20" s="286"/>
      <c r="D20" s="273"/>
    </row>
    <row r="21" spans="2:4" ht="8.25" customHeight="1" x14ac:dyDescent="0.25">
      <c r="B21" s="271"/>
      <c r="C21" s="278"/>
      <c r="D21" s="273"/>
    </row>
    <row r="22" spans="2:4" ht="8.25" customHeight="1" x14ac:dyDescent="0.25">
      <c r="B22" s="271"/>
      <c r="C22" s="271"/>
      <c r="D22" s="271"/>
    </row>
    <row r="23" spans="2:4" ht="25.5" customHeight="1" x14ac:dyDescent="0.25">
      <c r="B23" s="271" t="s">
        <v>59</v>
      </c>
      <c r="C23" s="29" t="s">
        <v>64</v>
      </c>
      <c r="D23" s="280" t="s">
        <v>28</v>
      </c>
    </row>
    <row r="24" spans="2:4" x14ac:dyDescent="0.25">
      <c r="B24" s="271"/>
      <c r="C24" s="23" t="s">
        <v>24</v>
      </c>
      <c r="D24" s="281"/>
    </row>
    <row r="25" spans="2:4" x14ac:dyDescent="0.25">
      <c r="B25" s="271"/>
      <c r="C25" s="23" t="s">
        <v>25</v>
      </c>
      <c r="D25" s="281"/>
    </row>
    <row r="26" spans="2:4" x14ac:dyDescent="0.25">
      <c r="B26" s="271"/>
      <c r="C26" s="23" t="s">
        <v>26</v>
      </c>
      <c r="D26" s="281"/>
    </row>
    <row r="27" spans="2:4" ht="12" customHeight="1" x14ac:dyDescent="0.25">
      <c r="B27" s="279"/>
      <c r="C27" s="30" t="s">
        <v>27</v>
      </c>
      <c r="D27" s="281"/>
    </row>
    <row r="28" spans="2:4" ht="12" customHeight="1" x14ac:dyDescent="0.25">
      <c r="B28" s="271"/>
      <c r="C28" s="271"/>
      <c r="D28" s="271"/>
    </row>
    <row r="29" spans="2:4" ht="22.5" customHeight="1" x14ac:dyDescent="0.25">
      <c r="B29" s="271" t="s">
        <v>60</v>
      </c>
      <c r="C29" s="24" t="s">
        <v>29</v>
      </c>
      <c r="D29" s="280" t="s">
        <v>34</v>
      </c>
    </row>
    <row r="30" spans="2:4" x14ac:dyDescent="0.25">
      <c r="B30" s="271"/>
      <c r="C30" s="23" t="s">
        <v>30</v>
      </c>
      <c r="D30" s="281"/>
    </row>
    <row r="31" spans="2:4" x14ac:dyDescent="0.25">
      <c r="B31" s="271"/>
      <c r="C31" s="23" t="s">
        <v>31</v>
      </c>
      <c r="D31" s="281"/>
    </row>
    <row r="32" spans="2:4" x14ac:dyDescent="0.25">
      <c r="B32" s="271"/>
      <c r="C32" s="25" t="s">
        <v>32</v>
      </c>
      <c r="D32" s="281"/>
    </row>
    <row r="33" spans="2:4" ht="9.75" customHeight="1" x14ac:dyDescent="0.25">
      <c r="B33" s="271"/>
      <c r="C33" s="277" t="s">
        <v>33</v>
      </c>
      <c r="D33" s="281"/>
    </row>
    <row r="34" spans="2:4" ht="12" customHeight="1" x14ac:dyDescent="0.25">
      <c r="B34" s="271"/>
      <c r="C34" s="278"/>
      <c r="D34" s="282"/>
    </row>
    <row r="35" spans="2:4" ht="12" customHeight="1" x14ac:dyDescent="0.25">
      <c r="B35" s="271"/>
      <c r="C35" s="271"/>
      <c r="D35" s="271"/>
    </row>
    <row r="36" spans="2:4" x14ac:dyDescent="0.25">
      <c r="B36" s="271" t="s">
        <v>61</v>
      </c>
      <c r="C36" s="23" t="s">
        <v>65</v>
      </c>
      <c r="D36" s="272" t="s">
        <v>37</v>
      </c>
    </row>
    <row r="37" spans="2:4" x14ac:dyDescent="0.25">
      <c r="B37" s="271"/>
      <c r="C37" s="23" t="s">
        <v>35</v>
      </c>
      <c r="D37" s="272"/>
    </row>
    <row r="38" spans="2:4" x14ac:dyDescent="0.25">
      <c r="B38" s="271"/>
      <c r="C38" s="30" t="s">
        <v>36</v>
      </c>
      <c r="D38" s="272"/>
    </row>
    <row r="39" spans="2:4" ht="13.5" customHeight="1" x14ac:dyDescent="0.25">
      <c r="B39" s="271"/>
      <c r="C39" s="271"/>
      <c r="D39" s="271"/>
    </row>
    <row r="40" spans="2:4" ht="22.5" customHeight="1" x14ac:dyDescent="0.25">
      <c r="B40" s="279" t="s">
        <v>62</v>
      </c>
      <c r="C40" s="31" t="s">
        <v>38</v>
      </c>
      <c r="D40" s="280" t="s">
        <v>45</v>
      </c>
    </row>
    <row r="41" spans="2:4" x14ac:dyDescent="0.25">
      <c r="B41" s="287"/>
      <c r="C41" s="23" t="s">
        <v>39</v>
      </c>
      <c r="D41" s="281"/>
    </row>
    <row r="42" spans="2:4" ht="15" customHeight="1" x14ac:dyDescent="0.25">
      <c r="B42" s="287"/>
      <c r="C42" s="23" t="s">
        <v>66</v>
      </c>
      <c r="D42" s="281"/>
    </row>
    <row r="43" spans="2:4" ht="25.5" customHeight="1" x14ac:dyDescent="0.25">
      <c r="B43" s="287"/>
      <c r="C43" s="24" t="s">
        <v>40</v>
      </c>
      <c r="D43" s="281"/>
    </row>
    <row r="44" spans="2:4" x14ac:dyDescent="0.25">
      <c r="B44" s="287"/>
      <c r="C44" s="23" t="s">
        <v>41</v>
      </c>
      <c r="D44" s="281"/>
    </row>
    <row r="45" spans="2:4" x14ac:dyDescent="0.25">
      <c r="B45" s="287"/>
      <c r="C45" s="25" t="s">
        <v>42</v>
      </c>
      <c r="D45" s="281"/>
    </row>
    <row r="46" spans="2:4" x14ac:dyDescent="0.25">
      <c r="B46" s="287"/>
      <c r="C46" s="25" t="s">
        <v>43</v>
      </c>
      <c r="D46" s="281"/>
    </row>
    <row r="47" spans="2:4" x14ac:dyDescent="0.25">
      <c r="B47" s="288"/>
      <c r="C47" s="25" t="s">
        <v>44</v>
      </c>
      <c r="D47" s="282"/>
    </row>
    <row r="48" spans="2:4" x14ac:dyDescent="0.25">
      <c r="B48" s="271"/>
      <c r="C48" s="271"/>
      <c r="D48" s="271"/>
    </row>
    <row r="49" spans="2:4" ht="15" customHeight="1" x14ac:dyDescent="0.25">
      <c r="B49" s="271" t="s">
        <v>63</v>
      </c>
      <c r="C49" s="23" t="s">
        <v>46</v>
      </c>
      <c r="D49" s="272" t="s">
        <v>50</v>
      </c>
    </row>
    <row r="50" spans="2:4" x14ac:dyDescent="0.25">
      <c r="B50" s="271"/>
      <c r="C50" s="23" t="s">
        <v>47</v>
      </c>
      <c r="D50" s="272"/>
    </row>
    <row r="51" spans="2:4" x14ac:dyDescent="0.25">
      <c r="B51" s="271"/>
      <c r="C51" s="25" t="s">
        <v>48</v>
      </c>
      <c r="D51" s="272"/>
    </row>
    <row r="52" spans="2:4" ht="11.25" customHeight="1" x14ac:dyDescent="0.25">
      <c r="B52" s="271"/>
      <c r="C52" s="277" t="s">
        <v>49</v>
      </c>
      <c r="D52" s="272"/>
    </row>
    <row r="53" spans="2:4" ht="10.5" customHeight="1" x14ac:dyDescent="0.25">
      <c r="B53" s="271"/>
      <c r="C53" s="278"/>
      <c r="D53" s="272"/>
    </row>
    <row r="54" spans="2:4" ht="15" customHeight="1" x14ac:dyDescent="0.25">
      <c r="B54" s="283" t="s">
        <v>52</v>
      </c>
      <c r="C54" s="285" t="s">
        <v>51</v>
      </c>
      <c r="D54" s="285"/>
    </row>
    <row r="55" spans="2:4" ht="15" customHeight="1" x14ac:dyDescent="0.25">
      <c r="B55" s="283"/>
      <c r="C55" s="284"/>
      <c r="D55" s="284"/>
    </row>
    <row r="56" spans="2:4" x14ac:dyDescent="0.25">
      <c r="B56" s="283"/>
      <c r="C56" s="284"/>
      <c r="D56" s="284"/>
    </row>
    <row r="57" spans="2:4" x14ac:dyDescent="0.25">
      <c r="B57" s="283"/>
      <c r="C57" s="284"/>
      <c r="D57" s="284"/>
    </row>
    <row r="58" spans="2:4" x14ac:dyDescent="0.25">
      <c r="B58" s="283"/>
      <c r="C58" s="284"/>
      <c r="D58" s="284"/>
    </row>
    <row r="59" spans="2:4" ht="21" customHeight="1" x14ac:dyDescent="0.25">
      <c r="B59" s="283"/>
      <c r="C59" s="284"/>
      <c r="D59" s="284"/>
    </row>
    <row r="60" spans="2:4" x14ac:dyDescent="0.25">
      <c r="B60" s="283"/>
      <c r="C60" s="284"/>
      <c r="D60" s="284"/>
    </row>
    <row r="61" spans="2:4" x14ac:dyDescent="0.25">
      <c r="B61" s="283"/>
      <c r="C61" s="284"/>
      <c r="D61" s="284"/>
    </row>
    <row r="62" spans="2:4" x14ac:dyDescent="0.25">
      <c r="B62" s="283"/>
      <c r="C62" s="284"/>
      <c r="D62" s="284"/>
    </row>
    <row r="63" spans="2:4" x14ac:dyDescent="0.25">
      <c r="B63" s="283"/>
      <c r="C63" s="284"/>
      <c r="D63" s="284"/>
    </row>
  </sheetData>
  <mergeCells count="33">
    <mergeCell ref="B54:B63"/>
    <mergeCell ref="C55:D63"/>
    <mergeCell ref="B12:B16"/>
    <mergeCell ref="D12:D16"/>
    <mergeCell ref="C54:D54"/>
    <mergeCell ref="C18:C21"/>
    <mergeCell ref="B28:D28"/>
    <mergeCell ref="B22:D22"/>
    <mergeCell ref="B35:D35"/>
    <mergeCell ref="B39:D39"/>
    <mergeCell ref="B48:D48"/>
    <mergeCell ref="B36:B38"/>
    <mergeCell ref="D36:D38"/>
    <mergeCell ref="B40:B47"/>
    <mergeCell ref="D40:D47"/>
    <mergeCell ref="B49:B53"/>
    <mergeCell ref="B2:D2"/>
    <mergeCell ref="B3:D3"/>
    <mergeCell ref="B4:B7"/>
    <mergeCell ref="D49:D53"/>
    <mergeCell ref="C52:C53"/>
    <mergeCell ref="B23:B27"/>
    <mergeCell ref="D23:D27"/>
    <mergeCell ref="B29:B34"/>
    <mergeCell ref="D29:D34"/>
    <mergeCell ref="C33:C34"/>
    <mergeCell ref="E4:E6"/>
    <mergeCell ref="C5:C7"/>
    <mergeCell ref="D5:D10"/>
    <mergeCell ref="C15:C16"/>
    <mergeCell ref="B18:B21"/>
    <mergeCell ref="D18:D21"/>
    <mergeCell ref="B17:D17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E57B-75A0-4C06-8038-B70E6BD7421B}">
  <sheetPr>
    <pageSetUpPr fitToPage="1"/>
  </sheetPr>
  <dimension ref="B2:F31"/>
  <sheetViews>
    <sheetView showGridLines="0" zoomScale="80" zoomScaleNormal="80" workbookViewId="0">
      <selection activeCell="L14" sqref="L14"/>
    </sheetView>
  </sheetViews>
  <sheetFormatPr baseColWidth="10" defaultColWidth="10.28515625" defaultRowHeight="16.5" x14ac:dyDescent="0.3"/>
  <cols>
    <col min="1" max="1" width="3.28515625" style="141" customWidth="1"/>
    <col min="2" max="2" width="37.85546875" style="141" customWidth="1"/>
    <col min="3" max="4" width="54.7109375" style="141" customWidth="1"/>
    <col min="5" max="5" width="5.5703125" style="141" customWidth="1"/>
    <col min="6" max="38" width="8" style="141" customWidth="1"/>
    <col min="39" max="16384" width="10.28515625" style="141"/>
  </cols>
  <sheetData>
    <row r="2" spans="2:6" ht="48" customHeight="1" x14ac:dyDescent="0.3">
      <c r="B2" s="289" t="s">
        <v>161</v>
      </c>
      <c r="C2" s="289"/>
      <c r="D2" s="289"/>
    </row>
    <row r="3" spans="2:6" ht="19.5" customHeight="1" x14ac:dyDescent="0.3">
      <c r="B3" s="290"/>
      <c r="C3" s="291"/>
      <c r="D3" s="142" t="s">
        <v>162</v>
      </c>
    </row>
    <row r="4" spans="2:6" ht="28.5" customHeight="1" x14ac:dyDescent="0.3">
      <c r="B4" s="143" t="s">
        <v>163</v>
      </c>
      <c r="C4" s="143" t="s">
        <v>164</v>
      </c>
      <c r="D4" s="143" t="s">
        <v>165</v>
      </c>
    </row>
    <row r="5" spans="2:6" x14ac:dyDescent="0.3">
      <c r="B5" s="144"/>
      <c r="C5" s="144"/>
      <c r="D5" s="144"/>
      <c r="F5" s="145"/>
    </row>
    <row r="6" spans="2:6" x14ac:dyDescent="0.3">
      <c r="B6" s="144"/>
      <c r="C6" s="144"/>
      <c r="D6" s="144"/>
      <c r="F6" s="146"/>
    </row>
    <row r="7" spans="2:6" x14ac:dyDescent="0.3">
      <c r="B7" s="144"/>
      <c r="C7" s="144"/>
      <c r="D7" s="144"/>
      <c r="F7" s="146"/>
    </row>
    <row r="8" spans="2:6" x14ac:dyDescent="0.3">
      <c r="B8" s="144"/>
      <c r="C8" s="144"/>
      <c r="D8" s="144"/>
    </row>
    <row r="9" spans="2:6" x14ac:dyDescent="0.3">
      <c r="B9" s="144"/>
      <c r="C9" s="144"/>
      <c r="D9" s="144"/>
      <c r="F9" s="145"/>
    </row>
    <row r="10" spans="2:6" x14ac:dyDescent="0.3">
      <c r="B10" s="144"/>
      <c r="C10" s="144"/>
      <c r="D10" s="144"/>
      <c r="F10" s="146"/>
    </row>
    <row r="11" spans="2:6" x14ac:dyDescent="0.3">
      <c r="B11" s="144"/>
      <c r="C11" s="144"/>
      <c r="D11" s="147"/>
      <c r="F11" s="146"/>
    </row>
    <row r="12" spans="2:6" x14ac:dyDescent="0.3">
      <c r="B12" s="144"/>
      <c r="C12" s="144"/>
      <c r="D12" s="144"/>
      <c r="F12" s="146"/>
    </row>
    <row r="13" spans="2:6" x14ac:dyDescent="0.3">
      <c r="B13" s="144"/>
      <c r="C13" s="144"/>
      <c r="D13" s="144"/>
      <c r="F13" s="146"/>
    </row>
    <row r="14" spans="2:6" x14ac:dyDescent="0.3">
      <c r="B14" s="144"/>
      <c r="C14" s="144"/>
      <c r="D14" s="144"/>
    </row>
    <row r="15" spans="2:6" x14ac:dyDescent="0.3">
      <c r="B15" s="144"/>
      <c r="C15" s="144"/>
      <c r="D15" s="144"/>
      <c r="F15" s="145"/>
    </row>
    <row r="16" spans="2:6" x14ac:dyDescent="0.3">
      <c r="B16" s="144"/>
      <c r="C16" s="144"/>
      <c r="D16" s="144"/>
      <c r="F16" s="146"/>
    </row>
    <row r="17" spans="2:6" x14ac:dyDescent="0.3">
      <c r="B17" s="144"/>
      <c r="C17" s="144"/>
      <c r="D17" s="144"/>
      <c r="F17" s="148"/>
    </row>
    <row r="18" spans="2:6" x14ac:dyDescent="0.3">
      <c r="B18" s="144"/>
      <c r="C18" s="144"/>
      <c r="D18" s="144"/>
      <c r="F18" s="146"/>
    </row>
    <row r="19" spans="2:6" x14ac:dyDescent="0.3">
      <c r="B19" s="144"/>
      <c r="C19" s="144"/>
      <c r="D19" s="144"/>
      <c r="F19" s="148"/>
    </row>
    <row r="20" spans="2:6" x14ac:dyDescent="0.3">
      <c r="B20" s="144"/>
      <c r="C20" s="144"/>
      <c r="D20" s="144"/>
    </row>
    <row r="21" spans="2:6" x14ac:dyDescent="0.3">
      <c r="B21" s="144"/>
      <c r="C21" s="144"/>
      <c r="D21" s="144"/>
      <c r="F21" s="145"/>
    </row>
    <row r="22" spans="2:6" x14ac:dyDescent="0.3">
      <c r="B22" s="144"/>
      <c r="C22" s="144"/>
      <c r="D22" s="144"/>
      <c r="F22" s="149"/>
    </row>
    <row r="23" spans="2:6" x14ac:dyDescent="0.3">
      <c r="B23" s="144"/>
      <c r="C23" s="144"/>
      <c r="D23" s="144"/>
      <c r="F23" s="149"/>
    </row>
    <row r="24" spans="2:6" x14ac:dyDescent="0.3">
      <c r="B24" s="144"/>
      <c r="C24" s="144"/>
      <c r="D24" s="144"/>
      <c r="F24" s="149"/>
    </row>
    <row r="25" spans="2:6" x14ac:dyDescent="0.3">
      <c r="B25" s="144"/>
      <c r="C25" s="144"/>
      <c r="D25" s="144"/>
    </row>
    <row r="26" spans="2:6" x14ac:dyDescent="0.3">
      <c r="B26" s="144"/>
      <c r="C26" s="144"/>
      <c r="D26" s="144"/>
    </row>
    <row r="27" spans="2:6" x14ac:dyDescent="0.3">
      <c r="B27" s="150"/>
      <c r="C27" s="150"/>
      <c r="D27" s="150"/>
    </row>
    <row r="29" spans="2:6" ht="25.5" customHeight="1" x14ac:dyDescent="0.3">
      <c r="B29" s="292" t="s">
        <v>166</v>
      </c>
      <c r="C29" s="293"/>
      <c r="D29" s="293"/>
    </row>
    <row r="30" spans="2:6" ht="24" customHeight="1" x14ac:dyDescent="0.3">
      <c r="B30" s="292"/>
      <c r="C30" s="293"/>
      <c r="D30" s="293"/>
    </row>
    <row r="31" spans="2:6" ht="27" customHeight="1" x14ac:dyDescent="0.3">
      <c r="B31" s="292"/>
      <c r="C31" s="293"/>
      <c r="D31" s="293"/>
    </row>
  </sheetData>
  <mergeCells count="6">
    <mergeCell ref="B2:D2"/>
    <mergeCell ref="B3:C3"/>
    <mergeCell ref="B29:B31"/>
    <mergeCell ref="C29:D29"/>
    <mergeCell ref="C30:D30"/>
    <mergeCell ref="C31:D31"/>
  </mergeCells>
  <pageMargins left="0.4" right="0.25" top="0.51" bottom="0.3" header="0.3" footer="0.3"/>
  <pageSetup paperSize="9" fitToHeight="0" orientation="landscape" r:id="rId1"/>
  <headerFooter>
    <oddHeader>&amp;R&amp;P of 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245A-9153-4D9D-9D06-9537CC2D0D2C}">
  <dimension ref="B1:X28"/>
  <sheetViews>
    <sheetView showGridLines="0" zoomScale="80" zoomScaleNormal="80" workbookViewId="0">
      <selection activeCell="B2" sqref="B2:V2"/>
    </sheetView>
  </sheetViews>
  <sheetFormatPr baseColWidth="10" defaultColWidth="9.140625" defaultRowHeight="12.75" x14ac:dyDescent="0.2"/>
  <cols>
    <col min="1" max="1" width="3.28515625" style="33" customWidth="1"/>
    <col min="2" max="2" width="4.5703125" style="33" bestFit="1" customWidth="1"/>
    <col min="3" max="3" width="16" style="37" customWidth="1"/>
    <col min="4" max="4" width="24" style="35" customWidth="1"/>
    <col min="5" max="5" width="11.42578125" style="34" customWidth="1"/>
    <col min="6" max="6" width="11" style="36" customWidth="1"/>
    <col min="7" max="7" width="13.140625" style="35" bestFit="1" customWidth="1"/>
    <col min="8" max="8" width="2.5703125" style="33" customWidth="1"/>
    <col min="9" max="9" width="9.140625" style="33" customWidth="1"/>
    <col min="10" max="10" width="9.28515625" style="34" bestFit="1" customWidth="1"/>
    <col min="11" max="248" width="9.140625" style="33"/>
    <col min="249" max="249" width="4.5703125" style="33" bestFit="1" customWidth="1"/>
    <col min="250" max="250" width="3.42578125" style="33" bestFit="1" customWidth="1"/>
    <col min="251" max="251" width="9.28515625" style="33" bestFit="1" customWidth="1"/>
    <col min="252" max="254" width="6" style="33" bestFit="1" customWidth="1"/>
    <col min="255" max="255" width="3.7109375" style="33" customWidth="1"/>
    <col min="256" max="256" width="9.140625" style="33"/>
    <col min="257" max="257" width="9.28515625" style="33" bestFit="1" customWidth="1"/>
    <col min="258" max="504" width="9.140625" style="33"/>
    <col min="505" max="505" width="4.5703125" style="33" bestFit="1" customWidth="1"/>
    <col min="506" max="506" width="3.42578125" style="33" bestFit="1" customWidth="1"/>
    <col min="507" max="507" width="9.28515625" style="33" bestFit="1" customWidth="1"/>
    <col min="508" max="510" width="6" style="33" bestFit="1" customWidth="1"/>
    <col min="511" max="511" width="3.7109375" style="33" customWidth="1"/>
    <col min="512" max="512" width="9.140625" style="33"/>
    <col min="513" max="513" width="9.28515625" style="33" bestFit="1" customWidth="1"/>
    <col min="514" max="760" width="9.140625" style="33"/>
    <col min="761" max="761" width="4.5703125" style="33" bestFit="1" customWidth="1"/>
    <col min="762" max="762" width="3.42578125" style="33" bestFit="1" customWidth="1"/>
    <col min="763" max="763" width="9.28515625" style="33" bestFit="1" customWidth="1"/>
    <col min="764" max="766" width="6" style="33" bestFit="1" customWidth="1"/>
    <col min="767" max="767" width="3.7109375" style="33" customWidth="1"/>
    <col min="768" max="768" width="9.140625" style="33"/>
    <col min="769" max="769" width="9.28515625" style="33" bestFit="1" customWidth="1"/>
    <col min="770" max="1016" width="9.140625" style="33"/>
    <col min="1017" max="1017" width="4.5703125" style="33" bestFit="1" customWidth="1"/>
    <col min="1018" max="1018" width="3.42578125" style="33" bestFit="1" customWidth="1"/>
    <col min="1019" max="1019" width="9.28515625" style="33" bestFit="1" customWidth="1"/>
    <col min="1020" max="1022" width="6" style="33" bestFit="1" customWidth="1"/>
    <col min="1023" max="1023" width="3.7109375" style="33" customWidth="1"/>
    <col min="1024" max="1024" width="9.140625" style="33"/>
    <col min="1025" max="1025" width="9.28515625" style="33" bestFit="1" customWidth="1"/>
    <col min="1026" max="1272" width="9.140625" style="33"/>
    <col min="1273" max="1273" width="4.5703125" style="33" bestFit="1" customWidth="1"/>
    <col min="1274" max="1274" width="3.42578125" style="33" bestFit="1" customWidth="1"/>
    <col min="1275" max="1275" width="9.28515625" style="33" bestFit="1" customWidth="1"/>
    <col min="1276" max="1278" width="6" style="33" bestFit="1" customWidth="1"/>
    <col min="1279" max="1279" width="3.7109375" style="33" customWidth="1"/>
    <col min="1280" max="1280" width="9.140625" style="33"/>
    <col min="1281" max="1281" width="9.28515625" style="33" bestFit="1" customWidth="1"/>
    <col min="1282" max="1528" width="9.140625" style="33"/>
    <col min="1529" max="1529" width="4.5703125" style="33" bestFit="1" customWidth="1"/>
    <col min="1530" max="1530" width="3.42578125" style="33" bestFit="1" customWidth="1"/>
    <col min="1531" max="1531" width="9.28515625" style="33" bestFit="1" customWidth="1"/>
    <col min="1532" max="1534" width="6" style="33" bestFit="1" customWidth="1"/>
    <col min="1535" max="1535" width="3.7109375" style="33" customWidth="1"/>
    <col min="1536" max="1536" width="9.140625" style="33"/>
    <col min="1537" max="1537" width="9.28515625" style="33" bestFit="1" customWidth="1"/>
    <col min="1538" max="1784" width="9.140625" style="33"/>
    <col min="1785" max="1785" width="4.5703125" style="33" bestFit="1" customWidth="1"/>
    <col min="1786" max="1786" width="3.42578125" style="33" bestFit="1" customWidth="1"/>
    <col min="1787" max="1787" width="9.28515625" style="33" bestFit="1" customWidth="1"/>
    <col min="1788" max="1790" width="6" style="33" bestFit="1" customWidth="1"/>
    <col min="1791" max="1791" width="3.7109375" style="33" customWidth="1"/>
    <col min="1792" max="1792" width="9.140625" style="33"/>
    <col min="1793" max="1793" width="9.28515625" style="33" bestFit="1" customWidth="1"/>
    <col min="1794" max="2040" width="9.140625" style="33"/>
    <col min="2041" max="2041" width="4.5703125" style="33" bestFit="1" customWidth="1"/>
    <col min="2042" max="2042" width="3.42578125" style="33" bestFit="1" customWidth="1"/>
    <col min="2043" max="2043" width="9.28515625" style="33" bestFit="1" customWidth="1"/>
    <col min="2044" max="2046" width="6" style="33" bestFit="1" customWidth="1"/>
    <col min="2047" max="2047" width="3.7109375" style="33" customWidth="1"/>
    <col min="2048" max="2048" width="9.140625" style="33"/>
    <col min="2049" max="2049" width="9.28515625" style="33" bestFit="1" customWidth="1"/>
    <col min="2050" max="2296" width="9.140625" style="33"/>
    <col min="2297" max="2297" width="4.5703125" style="33" bestFit="1" customWidth="1"/>
    <col min="2298" max="2298" width="3.42578125" style="33" bestFit="1" customWidth="1"/>
    <col min="2299" max="2299" width="9.28515625" style="33" bestFit="1" customWidth="1"/>
    <col min="2300" max="2302" width="6" style="33" bestFit="1" customWidth="1"/>
    <col min="2303" max="2303" width="3.7109375" style="33" customWidth="1"/>
    <col min="2304" max="2304" width="9.140625" style="33"/>
    <col min="2305" max="2305" width="9.28515625" style="33" bestFit="1" customWidth="1"/>
    <col min="2306" max="2552" width="9.140625" style="33"/>
    <col min="2553" max="2553" width="4.5703125" style="33" bestFit="1" customWidth="1"/>
    <col min="2554" max="2554" width="3.42578125" style="33" bestFit="1" customWidth="1"/>
    <col min="2555" max="2555" width="9.28515625" style="33" bestFit="1" customWidth="1"/>
    <col min="2556" max="2558" width="6" style="33" bestFit="1" customWidth="1"/>
    <col min="2559" max="2559" width="3.7109375" style="33" customWidth="1"/>
    <col min="2560" max="2560" width="9.140625" style="33"/>
    <col min="2561" max="2561" width="9.28515625" style="33" bestFit="1" customWidth="1"/>
    <col min="2562" max="2808" width="9.140625" style="33"/>
    <col min="2809" max="2809" width="4.5703125" style="33" bestFit="1" customWidth="1"/>
    <col min="2810" max="2810" width="3.42578125" style="33" bestFit="1" customWidth="1"/>
    <col min="2811" max="2811" width="9.28515625" style="33" bestFit="1" customWidth="1"/>
    <col min="2812" max="2814" width="6" style="33" bestFit="1" customWidth="1"/>
    <col min="2815" max="2815" width="3.7109375" style="33" customWidth="1"/>
    <col min="2816" max="2816" width="9.140625" style="33"/>
    <col min="2817" max="2817" width="9.28515625" style="33" bestFit="1" customWidth="1"/>
    <col min="2818" max="3064" width="9.140625" style="33"/>
    <col min="3065" max="3065" width="4.5703125" style="33" bestFit="1" customWidth="1"/>
    <col min="3066" max="3066" width="3.42578125" style="33" bestFit="1" customWidth="1"/>
    <col min="3067" max="3067" width="9.28515625" style="33" bestFit="1" customWidth="1"/>
    <col min="3068" max="3070" width="6" style="33" bestFit="1" customWidth="1"/>
    <col min="3071" max="3071" width="3.7109375" style="33" customWidth="1"/>
    <col min="3072" max="3072" width="9.140625" style="33"/>
    <col min="3073" max="3073" width="9.28515625" style="33" bestFit="1" customWidth="1"/>
    <col min="3074" max="3320" width="9.140625" style="33"/>
    <col min="3321" max="3321" width="4.5703125" style="33" bestFit="1" customWidth="1"/>
    <col min="3322" max="3322" width="3.42578125" style="33" bestFit="1" customWidth="1"/>
    <col min="3323" max="3323" width="9.28515625" style="33" bestFit="1" customWidth="1"/>
    <col min="3324" max="3326" width="6" style="33" bestFit="1" customWidth="1"/>
    <col min="3327" max="3327" width="3.7109375" style="33" customWidth="1"/>
    <col min="3328" max="3328" width="9.140625" style="33"/>
    <col min="3329" max="3329" width="9.28515625" style="33" bestFit="1" customWidth="1"/>
    <col min="3330" max="3576" width="9.140625" style="33"/>
    <col min="3577" max="3577" width="4.5703125" style="33" bestFit="1" customWidth="1"/>
    <col min="3578" max="3578" width="3.42578125" style="33" bestFit="1" customWidth="1"/>
    <col min="3579" max="3579" width="9.28515625" style="33" bestFit="1" customWidth="1"/>
    <col min="3580" max="3582" width="6" style="33" bestFit="1" customWidth="1"/>
    <col min="3583" max="3583" width="3.7109375" style="33" customWidth="1"/>
    <col min="3584" max="3584" width="9.140625" style="33"/>
    <col min="3585" max="3585" width="9.28515625" style="33" bestFit="1" customWidth="1"/>
    <col min="3586" max="3832" width="9.140625" style="33"/>
    <col min="3833" max="3833" width="4.5703125" style="33" bestFit="1" customWidth="1"/>
    <col min="3834" max="3834" width="3.42578125" style="33" bestFit="1" customWidth="1"/>
    <col min="3835" max="3835" width="9.28515625" style="33" bestFit="1" customWidth="1"/>
    <col min="3836" max="3838" width="6" style="33" bestFit="1" customWidth="1"/>
    <col min="3839" max="3839" width="3.7109375" style="33" customWidth="1"/>
    <col min="3840" max="3840" width="9.140625" style="33"/>
    <col min="3841" max="3841" width="9.28515625" style="33" bestFit="1" customWidth="1"/>
    <col min="3842" max="4088" width="9.140625" style="33"/>
    <col min="4089" max="4089" width="4.5703125" style="33" bestFit="1" customWidth="1"/>
    <col min="4090" max="4090" width="3.42578125" style="33" bestFit="1" customWidth="1"/>
    <col min="4091" max="4091" width="9.28515625" style="33" bestFit="1" customWidth="1"/>
    <col min="4092" max="4094" width="6" style="33" bestFit="1" customWidth="1"/>
    <col min="4095" max="4095" width="3.7109375" style="33" customWidth="1"/>
    <col min="4096" max="4096" width="9.140625" style="33"/>
    <col min="4097" max="4097" width="9.28515625" style="33" bestFit="1" customWidth="1"/>
    <col min="4098" max="4344" width="9.140625" style="33"/>
    <col min="4345" max="4345" width="4.5703125" style="33" bestFit="1" customWidth="1"/>
    <col min="4346" max="4346" width="3.42578125" style="33" bestFit="1" customWidth="1"/>
    <col min="4347" max="4347" width="9.28515625" style="33" bestFit="1" customWidth="1"/>
    <col min="4348" max="4350" width="6" style="33" bestFit="1" customWidth="1"/>
    <col min="4351" max="4351" width="3.7109375" style="33" customWidth="1"/>
    <col min="4352" max="4352" width="9.140625" style="33"/>
    <col min="4353" max="4353" width="9.28515625" style="33" bestFit="1" customWidth="1"/>
    <col min="4354" max="4600" width="9.140625" style="33"/>
    <col min="4601" max="4601" width="4.5703125" style="33" bestFit="1" customWidth="1"/>
    <col min="4602" max="4602" width="3.42578125" style="33" bestFit="1" customWidth="1"/>
    <col min="4603" max="4603" width="9.28515625" style="33" bestFit="1" customWidth="1"/>
    <col min="4604" max="4606" width="6" style="33" bestFit="1" customWidth="1"/>
    <col min="4607" max="4607" width="3.7109375" style="33" customWidth="1"/>
    <col min="4608" max="4608" width="9.140625" style="33"/>
    <col min="4609" max="4609" width="9.28515625" style="33" bestFit="1" customWidth="1"/>
    <col min="4610" max="4856" width="9.140625" style="33"/>
    <col min="4857" max="4857" width="4.5703125" style="33" bestFit="1" customWidth="1"/>
    <col min="4858" max="4858" width="3.42578125" style="33" bestFit="1" customWidth="1"/>
    <col min="4859" max="4859" width="9.28515625" style="33" bestFit="1" customWidth="1"/>
    <col min="4860" max="4862" width="6" style="33" bestFit="1" customWidth="1"/>
    <col min="4863" max="4863" width="3.7109375" style="33" customWidth="1"/>
    <col min="4864" max="4864" width="9.140625" style="33"/>
    <col min="4865" max="4865" width="9.28515625" style="33" bestFit="1" customWidth="1"/>
    <col min="4866" max="5112" width="9.140625" style="33"/>
    <col min="5113" max="5113" width="4.5703125" style="33" bestFit="1" customWidth="1"/>
    <col min="5114" max="5114" width="3.42578125" style="33" bestFit="1" customWidth="1"/>
    <col min="5115" max="5115" width="9.28515625" style="33" bestFit="1" customWidth="1"/>
    <col min="5116" max="5118" width="6" style="33" bestFit="1" customWidth="1"/>
    <col min="5119" max="5119" width="3.7109375" style="33" customWidth="1"/>
    <col min="5120" max="5120" width="9.140625" style="33"/>
    <col min="5121" max="5121" width="9.28515625" style="33" bestFit="1" customWidth="1"/>
    <col min="5122" max="5368" width="9.140625" style="33"/>
    <col min="5369" max="5369" width="4.5703125" style="33" bestFit="1" customWidth="1"/>
    <col min="5370" max="5370" width="3.42578125" style="33" bestFit="1" customWidth="1"/>
    <col min="5371" max="5371" width="9.28515625" style="33" bestFit="1" customWidth="1"/>
    <col min="5372" max="5374" width="6" style="33" bestFit="1" customWidth="1"/>
    <col min="5375" max="5375" width="3.7109375" style="33" customWidth="1"/>
    <col min="5376" max="5376" width="9.140625" style="33"/>
    <col min="5377" max="5377" width="9.28515625" style="33" bestFit="1" customWidth="1"/>
    <col min="5378" max="5624" width="9.140625" style="33"/>
    <col min="5625" max="5625" width="4.5703125" style="33" bestFit="1" customWidth="1"/>
    <col min="5626" max="5626" width="3.42578125" style="33" bestFit="1" customWidth="1"/>
    <col min="5627" max="5627" width="9.28515625" style="33" bestFit="1" customWidth="1"/>
    <col min="5628" max="5630" width="6" style="33" bestFit="1" customWidth="1"/>
    <col min="5631" max="5631" width="3.7109375" style="33" customWidth="1"/>
    <col min="5632" max="5632" width="9.140625" style="33"/>
    <col min="5633" max="5633" width="9.28515625" style="33" bestFit="1" customWidth="1"/>
    <col min="5634" max="5880" width="9.140625" style="33"/>
    <col min="5881" max="5881" width="4.5703125" style="33" bestFit="1" customWidth="1"/>
    <col min="5882" max="5882" width="3.42578125" style="33" bestFit="1" customWidth="1"/>
    <col min="5883" max="5883" width="9.28515625" style="33" bestFit="1" customWidth="1"/>
    <col min="5884" max="5886" width="6" style="33" bestFit="1" customWidth="1"/>
    <col min="5887" max="5887" width="3.7109375" style="33" customWidth="1"/>
    <col min="5888" max="5888" width="9.140625" style="33"/>
    <col min="5889" max="5889" width="9.28515625" style="33" bestFit="1" customWidth="1"/>
    <col min="5890" max="6136" width="9.140625" style="33"/>
    <col min="6137" max="6137" width="4.5703125" style="33" bestFit="1" customWidth="1"/>
    <col min="6138" max="6138" width="3.42578125" style="33" bestFit="1" customWidth="1"/>
    <col min="6139" max="6139" width="9.28515625" style="33" bestFit="1" customWidth="1"/>
    <col min="6140" max="6142" width="6" style="33" bestFit="1" customWidth="1"/>
    <col min="6143" max="6143" width="3.7109375" style="33" customWidth="1"/>
    <col min="6144" max="6144" width="9.140625" style="33"/>
    <col min="6145" max="6145" width="9.28515625" style="33" bestFit="1" customWidth="1"/>
    <col min="6146" max="6392" width="9.140625" style="33"/>
    <col min="6393" max="6393" width="4.5703125" style="33" bestFit="1" customWidth="1"/>
    <col min="6394" max="6394" width="3.42578125" style="33" bestFit="1" customWidth="1"/>
    <col min="6395" max="6395" width="9.28515625" style="33" bestFit="1" customWidth="1"/>
    <col min="6396" max="6398" width="6" style="33" bestFit="1" customWidth="1"/>
    <col min="6399" max="6399" width="3.7109375" style="33" customWidth="1"/>
    <col min="6400" max="6400" width="9.140625" style="33"/>
    <col min="6401" max="6401" width="9.28515625" style="33" bestFit="1" customWidth="1"/>
    <col min="6402" max="6648" width="9.140625" style="33"/>
    <col min="6649" max="6649" width="4.5703125" style="33" bestFit="1" customWidth="1"/>
    <col min="6650" max="6650" width="3.42578125" style="33" bestFit="1" customWidth="1"/>
    <col min="6651" max="6651" width="9.28515625" style="33" bestFit="1" customWidth="1"/>
    <col min="6652" max="6654" width="6" style="33" bestFit="1" customWidth="1"/>
    <col min="6655" max="6655" width="3.7109375" style="33" customWidth="1"/>
    <col min="6656" max="6656" width="9.140625" style="33"/>
    <col min="6657" max="6657" width="9.28515625" style="33" bestFit="1" customWidth="1"/>
    <col min="6658" max="6904" width="9.140625" style="33"/>
    <col min="6905" max="6905" width="4.5703125" style="33" bestFit="1" customWidth="1"/>
    <col min="6906" max="6906" width="3.42578125" style="33" bestFit="1" customWidth="1"/>
    <col min="6907" max="6907" width="9.28515625" style="33" bestFit="1" customWidth="1"/>
    <col min="6908" max="6910" width="6" style="33" bestFit="1" customWidth="1"/>
    <col min="6911" max="6911" width="3.7109375" style="33" customWidth="1"/>
    <col min="6912" max="6912" width="9.140625" style="33"/>
    <col min="6913" max="6913" width="9.28515625" style="33" bestFit="1" customWidth="1"/>
    <col min="6914" max="7160" width="9.140625" style="33"/>
    <col min="7161" max="7161" width="4.5703125" style="33" bestFit="1" customWidth="1"/>
    <col min="7162" max="7162" width="3.42578125" style="33" bestFit="1" customWidth="1"/>
    <col min="7163" max="7163" width="9.28515625" style="33" bestFit="1" customWidth="1"/>
    <col min="7164" max="7166" width="6" style="33" bestFit="1" customWidth="1"/>
    <col min="7167" max="7167" width="3.7109375" style="33" customWidth="1"/>
    <col min="7168" max="7168" width="9.140625" style="33"/>
    <col min="7169" max="7169" width="9.28515625" style="33" bestFit="1" customWidth="1"/>
    <col min="7170" max="7416" width="9.140625" style="33"/>
    <col min="7417" max="7417" width="4.5703125" style="33" bestFit="1" customWidth="1"/>
    <col min="7418" max="7418" width="3.42578125" style="33" bestFit="1" customWidth="1"/>
    <col min="7419" max="7419" width="9.28515625" style="33" bestFit="1" customWidth="1"/>
    <col min="7420" max="7422" width="6" style="33" bestFit="1" customWidth="1"/>
    <col min="7423" max="7423" width="3.7109375" style="33" customWidth="1"/>
    <col min="7424" max="7424" width="9.140625" style="33"/>
    <col min="7425" max="7425" width="9.28515625" style="33" bestFit="1" customWidth="1"/>
    <col min="7426" max="7672" width="9.140625" style="33"/>
    <col min="7673" max="7673" width="4.5703125" style="33" bestFit="1" customWidth="1"/>
    <col min="7674" max="7674" width="3.42578125" style="33" bestFit="1" customWidth="1"/>
    <col min="7675" max="7675" width="9.28515625" style="33" bestFit="1" customWidth="1"/>
    <col min="7676" max="7678" width="6" style="33" bestFit="1" customWidth="1"/>
    <col min="7679" max="7679" width="3.7109375" style="33" customWidth="1"/>
    <col min="7680" max="7680" width="9.140625" style="33"/>
    <col min="7681" max="7681" width="9.28515625" style="33" bestFit="1" customWidth="1"/>
    <col min="7682" max="7928" width="9.140625" style="33"/>
    <col min="7929" max="7929" width="4.5703125" style="33" bestFit="1" customWidth="1"/>
    <col min="7930" max="7930" width="3.42578125" style="33" bestFit="1" customWidth="1"/>
    <col min="7931" max="7931" width="9.28515625" style="33" bestFit="1" customWidth="1"/>
    <col min="7932" max="7934" width="6" style="33" bestFit="1" customWidth="1"/>
    <col min="7935" max="7935" width="3.7109375" style="33" customWidth="1"/>
    <col min="7936" max="7936" width="9.140625" style="33"/>
    <col min="7937" max="7937" width="9.28515625" style="33" bestFit="1" customWidth="1"/>
    <col min="7938" max="8184" width="9.140625" style="33"/>
    <col min="8185" max="8185" width="4.5703125" style="33" bestFit="1" customWidth="1"/>
    <col min="8186" max="8186" width="3.42578125" style="33" bestFit="1" customWidth="1"/>
    <col min="8187" max="8187" width="9.28515625" style="33" bestFit="1" customWidth="1"/>
    <col min="8188" max="8190" width="6" style="33" bestFit="1" customWidth="1"/>
    <col min="8191" max="8191" width="3.7109375" style="33" customWidth="1"/>
    <col min="8192" max="8192" width="9.140625" style="33"/>
    <col min="8193" max="8193" width="9.28515625" style="33" bestFit="1" customWidth="1"/>
    <col min="8194" max="8440" width="9.140625" style="33"/>
    <col min="8441" max="8441" width="4.5703125" style="33" bestFit="1" customWidth="1"/>
    <col min="8442" max="8442" width="3.42578125" style="33" bestFit="1" customWidth="1"/>
    <col min="8443" max="8443" width="9.28515625" style="33" bestFit="1" customWidth="1"/>
    <col min="8444" max="8446" width="6" style="33" bestFit="1" customWidth="1"/>
    <col min="8447" max="8447" width="3.7109375" style="33" customWidth="1"/>
    <col min="8448" max="8448" width="9.140625" style="33"/>
    <col min="8449" max="8449" width="9.28515625" style="33" bestFit="1" customWidth="1"/>
    <col min="8450" max="8696" width="9.140625" style="33"/>
    <col min="8697" max="8697" width="4.5703125" style="33" bestFit="1" customWidth="1"/>
    <col min="8698" max="8698" width="3.42578125" style="33" bestFit="1" customWidth="1"/>
    <col min="8699" max="8699" width="9.28515625" style="33" bestFit="1" customWidth="1"/>
    <col min="8700" max="8702" width="6" style="33" bestFit="1" customWidth="1"/>
    <col min="8703" max="8703" width="3.7109375" style="33" customWidth="1"/>
    <col min="8704" max="8704" width="9.140625" style="33"/>
    <col min="8705" max="8705" width="9.28515625" style="33" bestFit="1" customWidth="1"/>
    <col min="8706" max="8952" width="9.140625" style="33"/>
    <col min="8953" max="8953" width="4.5703125" style="33" bestFit="1" customWidth="1"/>
    <col min="8954" max="8954" width="3.42578125" style="33" bestFit="1" customWidth="1"/>
    <col min="8955" max="8955" width="9.28515625" style="33" bestFit="1" customWidth="1"/>
    <col min="8956" max="8958" width="6" style="33" bestFit="1" customWidth="1"/>
    <col min="8959" max="8959" width="3.7109375" style="33" customWidth="1"/>
    <col min="8960" max="8960" width="9.140625" style="33"/>
    <col min="8961" max="8961" width="9.28515625" style="33" bestFit="1" customWidth="1"/>
    <col min="8962" max="9208" width="9.140625" style="33"/>
    <col min="9209" max="9209" width="4.5703125" style="33" bestFit="1" customWidth="1"/>
    <col min="9210" max="9210" width="3.42578125" style="33" bestFit="1" customWidth="1"/>
    <col min="9211" max="9211" width="9.28515625" style="33" bestFit="1" customWidth="1"/>
    <col min="9212" max="9214" width="6" style="33" bestFit="1" customWidth="1"/>
    <col min="9215" max="9215" width="3.7109375" style="33" customWidth="1"/>
    <col min="9216" max="9216" width="9.140625" style="33"/>
    <col min="9217" max="9217" width="9.28515625" style="33" bestFit="1" customWidth="1"/>
    <col min="9218" max="9464" width="9.140625" style="33"/>
    <col min="9465" max="9465" width="4.5703125" style="33" bestFit="1" customWidth="1"/>
    <col min="9466" max="9466" width="3.42578125" style="33" bestFit="1" customWidth="1"/>
    <col min="9467" max="9467" width="9.28515625" style="33" bestFit="1" customWidth="1"/>
    <col min="9468" max="9470" width="6" style="33" bestFit="1" customWidth="1"/>
    <col min="9471" max="9471" width="3.7109375" style="33" customWidth="1"/>
    <col min="9472" max="9472" width="9.140625" style="33"/>
    <col min="9473" max="9473" width="9.28515625" style="33" bestFit="1" customWidth="1"/>
    <col min="9474" max="9720" width="9.140625" style="33"/>
    <col min="9721" max="9721" width="4.5703125" style="33" bestFit="1" customWidth="1"/>
    <col min="9722" max="9722" width="3.42578125" style="33" bestFit="1" customWidth="1"/>
    <col min="9723" max="9723" width="9.28515625" style="33" bestFit="1" customWidth="1"/>
    <col min="9724" max="9726" width="6" style="33" bestFit="1" customWidth="1"/>
    <col min="9727" max="9727" width="3.7109375" style="33" customWidth="1"/>
    <col min="9728" max="9728" width="9.140625" style="33"/>
    <col min="9729" max="9729" width="9.28515625" style="33" bestFit="1" customWidth="1"/>
    <col min="9730" max="9976" width="9.140625" style="33"/>
    <col min="9977" max="9977" width="4.5703125" style="33" bestFit="1" customWidth="1"/>
    <col min="9978" max="9978" width="3.42578125" style="33" bestFit="1" customWidth="1"/>
    <col min="9979" max="9979" width="9.28515625" style="33" bestFit="1" customWidth="1"/>
    <col min="9980" max="9982" width="6" style="33" bestFit="1" customWidth="1"/>
    <col min="9983" max="9983" width="3.7109375" style="33" customWidth="1"/>
    <col min="9984" max="9984" width="9.140625" style="33"/>
    <col min="9985" max="9985" width="9.28515625" style="33" bestFit="1" customWidth="1"/>
    <col min="9986" max="10232" width="9.140625" style="33"/>
    <col min="10233" max="10233" width="4.5703125" style="33" bestFit="1" customWidth="1"/>
    <col min="10234" max="10234" width="3.42578125" style="33" bestFit="1" customWidth="1"/>
    <col min="10235" max="10235" width="9.28515625" style="33" bestFit="1" customWidth="1"/>
    <col min="10236" max="10238" width="6" style="33" bestFit="1" customWidth="1"/>
    <col min="10239" max="10239" width="3.7109375" style="33" customWidth="1"/>
    <col min="10240" max="10240" width="9.140625" style="33"/>
    <col min="10241" max="10241" width="9.28515625" style="33" bestFit="1" customWidth="1"/>
    <col min="10242" max="10488" width="9.140625" style="33"/>
    <col min="10489" max="10489" width="4.5703125" style="33" bestFit="1" customWidth="1"/>
    <col min="10490" max="10490" width="3.42578125" style="33" bestFit="1" customWidth="1"/>
    <col min="10491" max="10491" width="9.28515625" style="33" bestFit="1" customWidth="1"/>
    <col min="10492" max="10494" width="6" style="33" bestFit="1" customWidth="1"/>
    <col min="10495" max="10495" width="3.7109375" style="33" customWidth="1"/>
    <col min="10496" max="10496" width="9.140625" style="33"/>
    <col min="10497" max="10497" width="9.28515625" style="33" bestFit="1" customWidth="1"/>
    <col min="10498" max="10744" width="9.140625" style="33"/>
    <col min="10745" max="10745" width="4.5703125" style="33" bestFit="1" customWidth="1"/>
    <col min="10746" max="10746" width="3.42578125" style="33" bestFit="1" customWidth="1"/>
    <col min="10747" max="10747" width="9.28515625" style="33" bestFit="1" customWidth="1"/>
    <col min="10748" max="10750" width="6" style="33" bestFit="1" customWidth="1"/>
    <col min="10751" max="10751" width="3.7109375" style="33" customWidth="1"/>
    <col min="10752" max="10752" width="9.140625" style="33"/>
    <col min="10753" max="10753" width="9.28515625" style="33" bestFit="1" customWidth="1"/>
    <col min="10754" max="11000" width="9.140625" style="33"/>
    <col min="11001" max="11001" width="4.5703125" style="33" bestFit="1" customWidth="1"/>
    <col min="11002" max="11002" width="3.42578125" style="33" bestFit="1" customWidth="1"/>
    <col min="11003" max="11003" width="9.28515625" style="33" bestFit="1" customWidth="1"/>
    <col min="11004" max="11006" width="6" style="33" bestFit="1" customWidth="1"/>
    <col min="11007" max="11007" width="3.7109375" style="33" customWidth="1"/>
    <col min="11008" max="11008" width="9.140625" style="33"/>
    <col min="11009" max="11009" width="9.28515625" style="33" bestFit="1" customWidth="1"/>
    <col min="11010" max="11256" width="9.140625" style="33"/>
    <col min="11257" max="11257" width="4.5703125" style="33" bestFit="1" customWidth="1"/>
    <col min="11258" max="11258" width="3.42578125" style="33" bestFit="1" customWidth="1"/>
    <col min="11259" max="11259" width="9.28515625" style="33" bestFit="1" customWidth="1"/>
    <col min="11260" max="11262" width="6" style="33" bestFit="1" customWidth="1"/>
    <col min="11263" max="11263" width="3.7109375" style="33" customWidth="1"/>
    <col min="11264" max="11264" width="9.140625" style="33"/>
    <col min="11265" max="11265" width="9.28515625" style="33" bestFit="1" customWidth="1"/>
    <col min="11266" max="11512" width="9.140625" style="33"/>
    <col min="11513" max="11513" width="4.5703125" style="33" bestFit="1" customWidth="1"/>
    <col min="11514" max="11514" width="3.42578125" style="33" bestFit="1" customWidth="1"/>
    <col min="11515" max="11515" width="9.28515625" style="33" bestFit="1" customWidth="1"/>
    <col min="11516" max="11518" width="6" style="33" bestFit="1" customWidth="1"/>
    <col min="11519" max="11519" width="3.7109375" style="33" customWidth="1"/>
    <col min="11520" max="11520" width="9.140625" style="33"/>
    <col min="11521" max="11521" width="9.28515625" style="33" bestFit="1" customWidth="1"/>
    <col min="11522" max="11768" width="9.140625" style="33"/>
    <col min="11769" max="11769" width="4.5703125" style="33" bestFit="1" customWidth="1"/>
    <col min="11770" max="11770" width="3.42578125" style="33" bestFit="1" customWidth="1"/>
    <col min="11771" max="11771" width="9.28515625" style="33" bestFit="1" customWidth="1"/>
    <col min="11772" max="11774" width="6" style="33" bestFit="1" customWidth="1"/>
    <col min="11775" max="11775" width="3.7109375" style="33" customWidth="1"/>
    <col min="11776" max="11776" width="9.140625" style="33"/>
    <col min="11777" max="11777" width="9.28515625" style="33" bestFit="1" customWidth="1"/>
    <col min="11778" max="12024" width="9.140625" style="33"/>
    <col min="12025" max="12025" width="4.5703125" style="33" bestFit="1" customWidth="1"/>
    <col min="12026" max="12026" width="3.42578125" style="33" bestFit="1" customWidth="1"/>
    <col min="12027" max="12027" width="9.28515625" style="33" bestFit="1" customWidth="1"/>
    <col min="12028" max="12030" width="6" style="33" bestFit="1" customWidth="1"/>
    <col min="12031" max="12031" width="3.7109375" style="33" customWidth="1"/>
    <col min="12032" max="12032" width="9.140625" style="33"/>
    <col min="12033" max="12033" width="9.28515625" style="33" bestFit="1" customWidth="1"/>
    <col min="12034" max="12280" width="9.140625" style="33"/>
    <col min="12281" max="12281" width="4.5703125" style="33" bestFit="1" customWidth="1"/>
    <col min="12282" max="12282" width="3.42578125" style="33" bestFit="1" customWidth="1"/>
    <col min="12283" max="12283" width="9.28515625" style="33" bestFit="1" customWidth="1"/>
    <col min="12284" max="12286" width="6" style="33" bestFit="1" customWidth="1"/>
    <col min="12287" max="12287" width="3.7109375" style="33" customWidth="1"/>
    <col min="12288" max="12288" width="9.140625" style="33"/>
    <col min="12289" max="12289" width="9.28515625" style="33" bestFit="1" customWidth="1"/>
    <col min="12290" max="12536" width="9.140625" style="33"/>
    <col min="12537" max="12537" width="4.5703125" style="33" bestFit="1" customWidth="1"/>
    <col min="12538" max="12538" width="3.42578125" style="33" bestFit="1" customWidth="1"/>
    <col min="12539" max="12539" width="9.28515625" style="33" bestFit="1" customWidth="1"/>
    <col min="12540" max="12542" width="6" style="33" bestFit="1" customWidth="1"/>
    <col min="12543" max="12543" width="3.7109375" style="33" customWidth="1"/>
    <col min="12544" max="12544" width="9.140625" style="33"/>
    <col min="12545" max="12545" width="9.28515625" style="33" bestFit="1" customWidth="1"/>
    <col min="12546" max="12792" width="9.140625" style="33"/>
    <col min="12793" max="12793" width="4.5703125" style="33" bestFit="1" customWidth="1"/>
    <col min="12794" max="12794" width="3.42578125" style="33" bestFit="1" customWidth="1"/>
    <col min="12795" max="12795" width="9.28515625" style="33" bestFit="1" customWidth="1"/>
    <col min="12796" max="12798" width="6" style="33" bestFit="1" customWidth="1"/>
    <col min="12799" max="12799" width="3.7109375" style="33" customWidth="1"/>
    <col min="12800" max="12800" width="9.140625" style="33"/>
    <col min="12801" max="12801" width="9.28515625" style="33" bestFit="1" customWidth="1"/>
    <col min="12802" max="13048" width="9.140625" style="33"/>
    <col min="13049" max="13049" width="4.5703125" style="33" bestFit="1" customWidth="1"/>
    <col min="13050" max="13050" width="3.42578125" style="33" bestFit="1" customWidth="1"/>
    <col min="13051" max="13051" width="9.28515625" style="33" bestFit="1" customWidth="1"/>
    <col min="13052" max="13054" width="6" style="33" bestFit="1" customWidth="1"/>
    <col min="13055" max="13055" width="3.7109375" style="33" customWidth="1"/>
    <col min="13056" max="13056" width="9.140625" style="33"/>
    <col min="13057" max="13057" width="9.28515625" style="33" bestFit="1" customWidth="1"/>
    <col min="13058" max="13304" width="9.140625" style="33"/>
    <col min="13305" max="13305" width="4.5703125" style="33" bestFit="1" customWidth="1"/>
    <col min="13306" max="13306" width="3.42578125" style="33" bestFit="1" customWidth="1"/>
    <col min="13307" max="13307" width="9.28515625" style="33" bestFit="1" customWidth="1"/>
    <col min="13308" max="13310" width="6" style="33" bestFit="1" customWidth="1"/>
    <col min="13311" max="13311" width="3.7109375" style="33" customWidth="1"/>
    <col min="13312" max="13312" width="9.140625" style="33"/>
    <col min="13313" max="13313" width="9.28515625" style="33" bestFit="1" customWidth="1"/>
    <col min="13314" max="13560" width="9.140625" style="33"/>
    <col min="13561" max="13561" width="4.5703125" style="33" bestFit="1" customWidth="1"/>
    <col min="13562" max="13562" width="3.42578125" style="33" bestFit="1" customWidth="1"/>
    <col min="13563" max="13563" width="9.28515625" style="33" bestFit="1" customWidth="1"/>
    <col min="13564" max="13566" width="6" style="33" bestFit="1" customWidth="1"/>
    <col min="13567" max="13567" width="3.7109375" style="33" customWidth="1"/>
    <col min="13568" max="13568" width="9.140625" style="33"/>
    <col min="13569" max="13569" width="9.28515625" style="33" bestFit="1" customWidth="1"/>
    <col min="13570" max="13816" width="9.140625" style="33"/>
    <col min="13817" max="13817" width="4.5703125" style="33" bestFit="1" customWidth="1"/>
    <col min="13818" max="13818" width="3.42578125" style="33" bestFit="1" customWidth="1"/>
    <col min="13819" max="13819" width="9.28515625" style="33" bestFit="1" customWidth="1"/>
    <col min="13820" max="13822" width="6" style="33" bestFit="1" customWidth="1"/>
    <col min="13823" max="13823" width="3.7109375" style="33" customWidth="1"/>
    <col min="13824" max="13824" width="9.140625" style="33"/>
    <col min="13825" max="13825" width="9.28515625" style="33" bestFit="1" customWidth="1"/>
    <col min="13826" max="14072" width="9.140625" style="33"/>
    <col min="14073" max="14073" width="4.5703125" style="33" bestFit="1" customWidth="1"/>
    <col min="14074" max="14074" width="3.42578125" style="33" bestFit="1" customWidth="1"/>
    <col min="14075" max="14075" width="9.28515625" style="33" bestFit="1" customWidth="1"/>
    <col min="14076" max="14078" width="6" style="33" bestFit="1" customWidth="1"/>
    <col min="14079" max="14079" width="3.7109375" style="33" customWidth="1"/>
    <col min="14080" max="14080" width="9.140625" style="33"/>
    <col min="14081" max="14081" width="9.28515625" style="33" bestFit="1" customWidth="1"/>
    <col min="14082" max="14328" width="9.140625" style="33"/>
    <col min="14329" max="14329" width="4.5703125" style="33" bestFit="1" customWidth="1"/>
    <col min="14330" max="14330" width="3.42578125" style="33" bestFit="1" customWidth="1"/>
    <col min="14331" max="14331" width="9.28515625" style="33" bestFit="1" customWidth="1"/>
    <col min="14332" max="14334" width="6" style="33" bestFit="1" customWidth="1"/>
    <col min="14335" max="14335" width="3.7109375" style="33" customWidth="1"/>
    <col min="14336" max="14336" width="9.140625" style="33"/>
    <col min="14337" max="14337" width="9.28515625" style="33" bestFit="1" customWidth="1"/>
    <col min="14338" max="14584" width="9.140625" style="33"/>
    <col min="14585" max="14585" width="4.5703125" style="33" bestFit="1" customWidth="1"/>
    <col min="14586" max="14586" width="3.42578125" style="33" bestFit="1" customWidth="1"/>
    <col min="14587" max="14587" width="9.28515625" style="33" bestFit="1" customWidth="1"/>
    <col min="14588" max="14590" width="6" style="33" bestFit="1" customWidth="1"/>
    <col min="14591" max="14591" width="3.7109375" style="33" customWidth="1"/>
    <col min="14592" max="14592" width="9.140625" style="33"/>
    <col min="14593" max="14593" width="9.28515625" style="33" bestFit="1" customWidth="1"/>
    <col min="14594" max="14840" width="9.140625" style="33"/>
    <col min="14841" max="14841" width="4.5703125" style="33" bestFit="1" customWidth="1"/>
    <col min="14842" max="14842" width="3.42578125" style="33" bestFit="1" customWidth="1"/>
    <col min="14843" max="14843" width="9.28515625" style="33" bestFit="1" customWidth="1"/>
    <col min="14844" max="14846" width="6" style="33" bestFit="1" customWidth="1"/>
    <col min="14847" max="14847" width="3.7109375" style="33" customWidth="1"/>
    <col min="14848" max="14848" width="9.140625" style="33"/>
    <col min="14849" max="14849" width="9.28515625" style="33" bestFit="1" customWidth="1"/>
    <col min="14850" max="15096" width="9.140625" style="33"/>
    <col min="15097" max="15097" width="4.5703125" style="33" bestFit="1" customWidth="1"/>
    <col min="15098" max="15098" width="3.42578125" style="33" bestFit="1" customWidth="1"/>
    <col min="15099" max="15099" width="9.28515625" style="33" bestFit="1" customWidth="1"/>
    <col min="15100" max="15102" width="6" style="33" bestFit="1" customWidth="1"/>
    <col min="15103" max="15103" width="3.7109375" style="33" customWidth="1"/>
    <col min="15104" max="15104" width="9.140625" style="33"/>
    <col min="15105" max="15105" width="9.28515625" style="33" bestFit="1" customWidth="1"/>
    <col min="15106" max="15352" width="9.140625" style="33"/>
    <col min="15353" max="15353" width="4.5703125" style="33" bestFit="1" customWidth="1"/>
    <col min="15354" max="15354" width="3.42578125" style="33" bestFit="1" customWidth="1"/>
    <col min="15355" max="15355" width="9.28515625" style="33" bestFit="1" customWidth="1"/>
    <col min="15356" max="15358" width="6" style="33" bestFit="1" customWidth="1"/>
    <col min="15359" max="15359" width="3.7109375" style="33" customWidth="1"/>
    <col min="15360" max="15360" width="9.140625" style="33"/>
    <col min="15361" max="15361" width="9.28515625" style="33" bestFit="1" customWidth="1"/>
    <col min="15362" max="15608" width="9.140625" style="33"/>
    <col min="15609" max="15609" width="4.5703125" style="33" bestFit="1" customWidth="1"/>
    <col min="15610" max="15610" width="3.42578125" style="33" bestFit="1" customWidth="1"/>
    <col min="15611" max="15611" width="9.28515625" style="33" bestFit="1" customWidth="1"/>
    <col min="15612" max="15614" width="6" style="33" bestFit="1" customWidth="1"/>
    <col min="15615" max="15615" width="3.7109375" style="33" customWidth="1"/>
    <col min="15616" max="15616" width="9.140625" style="33"/>
    <col min="15617" max="15617" width="9.28515625" style="33" bestFit="1" customWidth="1"/>
    <col min="15618" max="15864" width="9.140625" style="33"/>
    <col min="15865" max="15865" width="4.5703125" style="33" bestFit="1" customWidth="1"/>
    <col min="15866" max="15866" width="3.42578125" style="33" bestFit="1" customWidth="1"/>
    <col min="15867" max="15867" width="9.28515625" style="33" bestFit="1" customWidth="1"/>
    <col min="15868" max="15870" width="6" style="33" bestFit="1" customWidth="1"/>
    <col min="15871" max="15871" width="3.7109375" style="33" customWidth="1"/>
    <col min="15872" max="15872" width="9.140625" style="33"/>
    <col min="15873" max="15873" width="9.28515625" style="33" bestFit="1" customWidth="1"/>
    <col min="15874" max="16120" width="9.140625" style="33"/>
    <col min="16121" max="16121" width="4.5703125" style="33" bestFit="1" customWidth="1"/>
    <col min="16122" max="16122" width="3.42578125" style="33" bestFit="1" customWidth="1"/>
    <col min="16123" max="16123" width="9.28515625" style="33" bestFit="1" customWidth="1"/>
    <col min="16124" max="16126" width="6" style="33" bestFit="1" customWidth="1"/>
    <col min="16127" max="16127" width="3.7109375" style="33" customWidth="1"/>
    <col min="16128" max="16128" width="9.140625" style="33"/>
    <col min="16129" max="16129" width="9.28515625" style="33" bestFit="1" customWidth="1"/>
    <col min="16130" max="16384" width="9.140625" style="33"/>
  </cols>
  <sheetData>
    <row r="1" spans="2:22" ht="13.5" thickBot="1" x14ac:dyDescent="0.25"/>
    <row r="2" spans="2:22" ht="43.5" customHeight="1" x14ac:dyDescent="0.2">
      <c r="B2" s="298" t="s">
        <v>70</v>
      </c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300"/>
    </row>
    <row r="3" spans="2:22" ht="23.25" x14ac:dyDescent="0.35">
      <c r="B3" s="303" t="s">
        <v>73</v>
      </c>
      <c r="C3" s="304"/>
      <c r="D3" s="304"/>
      <c r="E3" s="305"/>
      <c r="F3" s="305"/>
      <c r="G3" s="305"/>
      <c r="H3" s="297" t="s">
        <v>69</v>
      </c>
      <c r="I3" s="297"/>
      <c r="J3" s="297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2"/>
    </row>
    <row r="4" spans="2:22" ht="15.75" customHeight="1" thickBot="1" x14ac:dyDescent="0.25">
      <c r="B4" s="306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8"/>
    </row>
    <row r="5" spans="2:22" ht="49.5" customHeight="1" thickBot="1" x14ac:dyDescent="0.25">
      <c r="B5" s="294" t="s">
        <v>68</v>
      </c>
      <c r="C5" s="47" t="s">
        <v>71</v>
      </c>
      <c r="D5" s="50" t="s">
        <v>72</v>
      </c>
      <c r="E5" s="53" t="s">
        <v>149</v>
      </c>
      <c r="F5" s="54" t="s">
        <v>150</v>
      </c>
      <c r="G5" s="63"/>
      <c r="H5" s="64"/>
      <c r="I5" s="64"/>
      <c r="J5" s="65"/>
      <c r="K5" s="64"/>
      <c r="L5" s="64"/>
      <c r="M5" s="64"/>
      <c r="N5" s="64"/>
      <c r="O5" s="64"/>
      <c r="P5" s="64"/>
      <c r="Q5" s="64"/>
      <c r="R5" s="65"/>
      <c r="S5" s="65"/>
      <c r="T5" s="65"/>
      <c r="U5" s="65"/>
      <c r="V5" s="66"/>
    </row>
    <row r="6" spans="2:22" ht="12.75" customHeight="1" thickBot="1" x14ac:dyDescent="0.25">
      <c r="B6" s="295"/>
      <c r="C6" s="48"/>
      <c r="D6" s="55"/>
      <c r="E6" s="57">
        <f>E3</f>
        <v>0</v>
      </c>
      <c r="F6" s="60" t="e">
        <f>G7</f>
        <v>#DIV/0!</v>
      </c>
      <c r="G6" s="51" t="s">
        <v>67</v>
      </c>
      <c r="H6" s="64"/>
      <c r="I6" s="67"/>
      <c r="J6" s="67"/>
      <c r="K6" s="64"/>
      <c r="L6" s="64"/>
      <c r="M6" s="64"/>
      <c r="N6" s="64"/>
      <c r="O6" s="64"/>
      <c r="P6" s="64"/>
      <c r="Q6" s="64"/>
      <c r="R6" s="65"/>
      <c r="S6" s="65"/>
      <c r="T6" s="65"/>
      <c r="U6" s="65"/>
      <c r="V6" s="66"/>
    </row>
    <row r="7" spans="2:22" ht="15.75" customHeight="1" thickBot="1" x14ac:dyDescent="0.25">
      <c r="B7" s="295"/>
      <c r="C7" s="48"/>
      <c r="D7" s="55"/>
      <c r="E7" s="58">
        <f t="shared" ref="E7:E25" si="0">E6</f>
        <v>0</v>
      </c>
      <c r="F7" s="61" t="e">
        <f t="shared" ref="F7:F25" si="1">F6</f>
        <v>#DIV/0!</v>
      </c>
      <c r="G7" s="52" t="e">
        <f>AVERAGE(D6:D25)</f>
        <v>#DIV/0!</v>
      </c>
      <c r="H7" s="64"/>
      <c r="I7" s="67"/>
      <c r="J7" s="68"/>
      <c r="K7" s="64"/>
      <c r="L7" s="64"/>
      <c r="M7" s="64"/>
      <c r="N7" s="64"/>
      <c r="O7" s="64"/>
      <c r="P7" s="64"/>
      <c r="Q7" s="64"/>
      <c r="R7" s="65"/>
      <c r="S7" s="65"/>
      <c r="T7" s="65"/>
      <c r="U7" s="65"/>
      <c r="V7" s="66"/>
    </row>
    <row r="8" spans="2:22" ht="15" customHeight="1" thickBot="1" x14ac:dyDescent="0.25">
      <c r="B8" s="295"/>
      <c r="C8" s="48"/>
      <c r="D8" s="55"/>
      <c r="E8" s="58">
        <f t="shared" si="0"/>
        <v>0</v>
      </c>
      <c r="F8" s="61" t="e">
        <f t="shared" si="1"/>
        <v>#DIV/0!</v>
      </c>
      <c r="G8" s="63"/>
      <c r="H8" s="64"/>
      <c r="I8" s="67"/>
      <c r="J8" s="68"/>
      <c r="K8" s="64"/>
      <c r="L8" s="64"/>
      <c r="M8" s="64"/>
      <c r="N8" s="64"/>
      <c r="O8" s="64"/>
      <c r="P8" s="64"/>
      <c r="Q8" s="64"/>
      <c r="R8" s="65"/>
      <c r="S8" s="65"/>
      <c r="T8" s="65"/>
      <c r="U8" s="65"/>
      <c r="V8" s="66"/>
    </row>
    <row r="9" spans="2:22" ht="15" customHeight="1" thickBot="1" x14ac:dyDescent="0.25">
      <c r="B9" s="295"/>
      <c r="C9" s="48"/>
      <c r="D9" s="55"/>
      <c r="E9" s="58">
        <f t="shared" si="0"/>
        <v>0</v>
      </c>
      <c r="F9" s="61" t="e">
        <f t="shared" si="1"/>
        <v>#DIV/0!</v>
      </c>
      <c r="G9" s="63"/>
      <c r="H9" s="64"/>
      <c r="I9" s="67"/>
      <c r="J9" s="68"/>
      <c r="K9" s="64"/>
      <c r="L9" s="64"/>
      <c r="M9" s="64"/>
      <c r="N9" s="64"/>
      <c r="O9" s="64"/>
      <c r="P9" s="64"/>
      <c r="Q9" s="64"/>
      <c r="R9" s="65"/>
      <c r="S9" s="65"/>
      <c r="T9" s="65"/>
      <c r="U9" s="65"/>
      <c r="V9" s="66"/>
    </row>
    <row r="10" spans="2:22" ht="15" customHeight="1" thickBot="1" x14ac:dyDescent="0.25">
      <c r="B10" s="295"/>
      <c r="C10" s="48"/>
      <c r="D10" s="55"/>
      <c r="E10" s="58">
        <f t="shared" si="0"/>
        <v>0</v>
      </c>
      <c r="F10" s="61" t="e">
        <f t="shared" si="1"/>
        <v>#DIV/0!</v>
      </c>
      <c r="G10" s="63"/>
      <c r="H10" s="64"/>
      <c r="I10" s="67"/>
      <c r="J10" s="68"/>
      <c r="K10" s="64"/>
      <c r="L10" s="64"/>
      <c r="M10" s="64"/>
      <c r="N10" s="64"/>
      <c r="O10" s="64"/>
      <c r="P10" s="64"/>
      <c r="Q10" s="64"/>
      <c r="R10" s="65"/>
      <c r="S10" s="65"/>
      <c r="T10" s="65"/>
      <c r="U10" s="65"/>
      <c r="V10" s="66"/>
    </row>
    <row r="11" spans="2:22" ht="15" customHeight="1" thickBot="1" x14ac:dyDescent="0.25">
      <c r="B11" s="295"/>
      <c r="C11" s="48"/>
      <c r="D11" s="55"/>
      <c r="E11" s="58">
        <f t="shared" si="0"/>
        <v>0</v>
      </c>
      <c r="F11" s="61" t="e">
        <f t="shared" si="1"/>
        <v>#DIV/0!</v>
      </c>
      <c r="G11" s="63"/>
      <c r="H11" s="64"/>
      <c r="I11" s="67"/>
      <c r="J11" s="68"/>
      <c r="K11" s="64"/>
      <c r="L11" s="64"/>
      <c r="M11" s="64"/>
      <c r="N11" s="64"/>
      <c r="O11" s="64"/>
      <c r="P11" s="64"/>
      <c r="Q11" s="64"/>
      <c r="R11" s="65"/>
      <c r="S11" s="65"/>
      <c r="T11" s="65"/>
      <c r="U11" s="65"/>
      <c r="V11" s="66"/>
    </row>
    <row r="12" spans="2:22" ht="15" customHeight="1" thickBot="1" x14ac:dyDescent="0.25">
      <c r="B12" s="295"/>
      <c r="C12" s="48"/>
      <c r="D12" s="55"/>
      <c r="E12" s="58">
        <f t="shared" si="0"/>
        <v>0</v>
      </c>
      <c r="F12" s="61" t="e">
        <f t="shared" si="1"/>
        <v>#DIV/0!</v>
      </c>
      <c r="G12" s="63"/>
      <c r="H12" s="64"/>
      <c r="I12" s="67"/>
      <c r="J12" s="69"/>
      <c r="K12" s="64"/>
      <c r="L12" s="64"/>
      <c r="M12" s="64"/>
      <c r="N12" s="64"/>
      <c r="O12" s="64"/>
      <c r="P12" s="64"/>
      <c r="Q12" s="64"/>
      <c r="R12" s="65"/>
      <c r="S12" s="65"/>
      <c r="T12" s="65"/>
      <c r="U12" s="65"/>
      <c r="V12" s="66"/>
    </row>
    <row r="13" spans="2:22" ht="15" customHeight="1" thickBot="1" x14ac:dyDescent="0.25">
      <c r="B13" s="295"/>
      <c r="C13" s="48"/>
      <c r="D13" s="55"/>
      <c r="E13" s="58">
        <f t="shared" si="0"/>
        <v>0</v>
      </c>
      <c r="F13" s="61" t="e">
        <f t="shared" si="1"/>
        <v>#DIV/0!</v>
      </c>
      <c r="G13" s="63"/>
      <c r="H13" s="64"/>
      <c r="I13" s="64"/>
      <c r="J13" s="46"/>
      <c r="K13" s="64"/>
      <c r="L13" s="64"/>
      <c r="M13" s="64"/>
      <c r="N13" s="64"/>
      <c r="O13" s="64"/>
      <c r="P13" s="64"/>
      <c r="Q13" s="64"/>
      <c r="R13" s="65"/>
      <c r="S13" s="65"/>
      <c r="T13" s="65"/>
      <c r="U13" s="65"/>
      <c r="V13" s="66"/>
    </row>
    <row r="14" spans="2:22" ht="15" customHeight="1" thickBot="1" x14ac:dyDescent="0.25">
      <c r="B14" s="295"/>
      <c r="C14" s="48"/>
      <c r="D14" s="55"/>
      <c r="E14" s="58">
        <f t="shared" si="0"/>
        <v>0</v>
      </c>
      <c r="F14" s="61" t="e">
        <f t="shared" si="1"/>
        <v>#DIV/0!</v>
      </c>
      <c r="G14" s="63"/>
      <c r="H14" s="64"/>
      <c r="I14" s="64"/>
      <c r="J14" s="46"/>
      <c r="K14" s="64"/>
      <c r="L14" s="64"/>
      <c r="M14" s="64"/>
      <c r="N14" s="64"/>
      <c r="O14" s="64"/>
      <c r="P14" s="64"/>
      <c r="Q14" s="64"/>
      <c r="R14" s="65"/>
      <c r="S14" s="65"/>
      <c r="T14" s="65"/>
      <c r="U14" s="65"/>
      <c r="V14" s="66"/>
    </row>
    <row r="15" spans="2:22" ht="15" customHeight="1" thickBot="1" x14ac:dyDescent="0.25">
      <c r="B15" s="295"/>
      <c r="C15" s="48"/>
      <c r="D15" s="55"/>
      <c r="E15" s="58">
        <f t="shared" si="0"/>
        <v>0</v>
      </c>
      <c r="F15" s="61" t="e">
        <f t="shared" si="1"/>
        <v>#DIV/0!</v>
      </c>
      <c r="G15" s="63"/>
      <c r="H15" s="64"/>
      <c r="I15" s="64"/>
      <c r="J15" s="46"/>
      <c r="K15" s="64"/>
      <c r="L15" s="64"/>
      <c r="M15" s="64"/>
      <c r="N15" s="64"/>
      <c r="O15" s="64"/>
      <c r="P15" s="64"/>
      <c r="Q15" s="64"/>
      <c r="R15" s="65"/>
      <c r="S15" s="65"/>
      <c r="T15" s="65"/>
      <c r="U15" s="65"/>
      <c r="V15" s="66"/>
    </row>
    <row r="16" spans="2:22" ht="15" customHeight="1" thickBot="1" x14ac:dyDescent="0.25">
      <c r="B16" s="295"/>
      <c r="C16" s="48"/>
      <c r="D16" s="55"/>
      <c r="E16" s="58">
        <f t="shared" si="0"/>
        <v>0</v>
      </c>
      <c r="F16" s="61" t="e">
        <f t="shared" si="1"/>
        <v>#DIV/0!</v>
      </c>
      <c r="G16" s="63"/>
      <c r="H16" s="64"/>
      <c r="I16" s="64"/>
      <c r="J16" s="46"/>
      <c r="K16" s="64"/>
      <c r="L16" s="64"/>
      <c r="M16" s="64"/>
      <c r="N16" s="64"/>
      <c r="O16" s="64"/>
      <c r="P16" s="64"/>
      <c r="Q16" s="64"/>
      <c r="R16" s="65"/>
      <c r="S16" s="65"/>
      <c r="T16" s="65"/>
      <c r="U16" s="65"/>
      <c r="V16" s="66"/>
    </row>
    <row r="17" spans="2:24" ht="15" customHeight="1" thickBot="1" x14ac:dyDescent="0.25">
      <c r="B17" s="295"/>
      <c r="C17" s="48"/>
      <c r="D17" s="55"/>
      <c r="E17" s="58">
        <f t="shared" si="0"/>
        <v>0</v>
      </c>
      <c r="F17" s="61" t="e">
        <f t="shared" si="1"/>
        <v>#DIV/0!</v>
      </c>
      <c r="G17" s="63"/>
      <c r="H17" s="64"/>
      <c r="I17" s="64"/>
      <c r="J17" s="46"/>
      <c r="K17" s="64"/>
      <c r="L17" s="64"/>
      <c r="M17" s="64"/>
      <c r="N17" s="64"/>
      <c r="O17" s="64"/>
      <c r="P17" s="64"/>
      <c r="Q17" s="64"/>
      <c r="R17" s="65"/>
      <c r="S17" s="65"/>
      <c r="T17" s="65"/>
      <c r="U17" s="65"/>
      <c r="V17" s="66"/>
    </row>
    <row r="18" spans="2:24" ht="15" customHeight="1" thickBot="1" x14ac:dyDescent="0.25">
      <c r="B18" s="295"/>
      <c r="C18" s="48"/>
      <c r="D18" s="55"/>
      <c r="E18" s="58">
        <f t="shared" si="0"/>
        <v>0</v>
      </c>
      <c r="F18" s="61" t="e">
        <f t="shared" si="1"/>
        <v>#DIV/0!</v>
      </c>
      <c r="G18" s="63"/>
      <c r="H18" s="64"/>
      <c r="I18" s="64"/>
      <c r="J18" s="46"/>
      <c r="K18" s="64"/>
      <c r="L18" s="64"/>
      <c r="M18" s="64"/>
      <c r="N18" s="64"/>
      <c r="O18" s="64"/>
      <c r="P18" s="64"/>
      <c r="Q18" s="64"/>
      <c r="R18" s="65"/>
      <c r="S18" s="65"/>
      <c r="T18" s="65"/>
      <c r="U18" s="65"/>
      <c r="V18" s="66"/>
    </row>
    <row r="19" spans="2:24" ht="15" customHeight="1" thickBot="1" x14ac:dyDescent="0.25">
      <c r="B19" s="295"/>
      <c r="C19" s="48"/>
      <c r="D19" s="55"/>
      <c r="E19" s="58">
        <f t="shared" si="0"/>
        <v>0</v>
      </c>
      <c r="F19" s="61" t="e">
        <f t="shared" si="1"/>
        <v>#DIV/0!</v>
      </c>
      <c r="G19" s="63"/>
      <c r="H19" s="64"/>
      <c r="I19" s="64"/>
      <c r="J19" s="46"/>
      <c r="K19" s="64"/>
      <c r="L19" s="64"/>
      <c r="M19" s="64"/>
      <c r="N19" s="64"/>
      <c r="O19" s="64"/>
      <c r="P19" s="64"/>
      <c r="Q19" s="64"/>
      <c r="R19" s="65"/>
      <c r="S19" s="65"/>
      <c r="T19" s="65"/>
      <c r="U19" s="65"/>
      <c r="V19" s="66"/>
    </row>
    <row r="20" spans="2:24" ht="15" customHeight="1" thickBot="1" x14ac:dyDescent="0.25">
      <c r="B20" s="295"/>
      <c r="C20" s="48"/>
      <c r="D20" s="55"/>
      <c r="E20" s="58">
        <f t="shared" si="0"/>
        <v>0</v>
      </c>
      <c r="F20" s="61" t="e">
        <f t="shared" si="1"/>
        <v>#DIV/0!</v>
      </c>
      <c r="G20" s="63"/>
      <c r="H20" s="64"/>
      <c r="I20" s="64"/>
      <c r="J20" s="46"/>
      <c r="K20" s="64"/>
      <c r="L20" s="64"/>
      <c r="M20" s="64"/>
      <c r="N20" s="64"/>
      <c r="O20" s="64"/>
      <c r="P20" s="64"/>
      <c r="Q20" s="64"/>
      <c r="R20" s="65"/>
      <c r="S20" s="65"/>
      <c r="T20" s="65"/>
      <c r="U20" s="65"/>
      <c r="V20" s="66"/>
      <c r="X20" s="65"/>
    </row>
    <row r="21" spans="2:24" ht="15" customHeight="1" thickBot="1" x14ac:dyDescent="0.25">
      <c r="B21" s="295"/>
      <c r="C21" s="48"/>
      <c r="D21" s="55"/>
      <c r="E21" s="58">
        <f t="shared" si="0"/>
        <v>0</v>
      </c>
      <c r="F21" s="61" t="e">
        <f t="shared" si="1"/>
        <v>#DIV/0!</v>
      </c>
      <c r="G21" s="63"/>
      <c r="H21" s="64"/>
      <c r="I21" s="64"/>
      <c r="J21" s="46"/>
      <c r="K21" s="64"/>
      <c r="L21" s="64"/>
      <c r="M21" s="64"/>
      <c r="N21" s="64"/>
      <c r="O21" s="64"/>
      <c r="P21" s="64"/>
      <c r="Q21" s="64"/>
      <c r="R21" s="65"/>
      <c r="S21" s="65"/>
      <c r="T21" s="65"/>
      <c r="U21" s="65"/>
      <c r="V21" s="66"/>
      <c r="X21" s="65"/>
    </row>
    <row r="22" spans="2:24" ht="15" customHeight="1" thickBot="1" x14ac:dyDescent="0.25">
      <c r="B22" s="295"/>
      <c r="C22" s="48"/>
      <c r="D22" s="55"/>
      <c r="E22" s="58">
        <f t="shared" si="0"/>
        <v>0</v>
      </c>
      <c r="F22" s="61" t="e">
        <f t="shared" si="1"/>
        <v>#DIV/0!</v>
      </c>
      <c r="G22" s="63"/>
      <c r="H22" s="64"/>
      <c r="I22" s="64"/>
      <c r="J22" s="46"/>
      <c r="K22" s="64"/>
      <c r="L22" s="64"/>
      <c r="M22" s="64"/>
      <c r="N22" s="64"/>
      <c r="O22" s="64"/>
      <c r="P22" s="64"/>
      <c r="Q22" s="64"/>
      <c r="R22" s="65"/>
      <c r="S22" s="65"/>
      <c r="T22" s="65"/>
      <c r="U22" s="65"/>
      <c r="V22" s="66"/>
      <c r="X22" s="65"/>
    </row>
    <row r="23" spans="2:24" ht="15" customHeight="1" thickBot="1" x14ac:dyDescent="0.25">
      <c r="B23" s="295"/>
      <c r="C23" s="48"/>
      <c r="D23" s="55"/>
      <c r="E23" s="58">
        <f t="shared" si="0"/>
        <v>0</v>
      </c>
      <c r="F23" s="61" t="e">
        <f t="shared" si="1"/>
        <v>#DIV/0!</v>
      </c>
      <c r="G23" s="63"/>
      <c r="H23" s="64"/>
      <c r="I23" s="64"/>
      <c r="J23" s="46"/>
      <c r="K23" s="64"/>
      <c r="L23" s="64"/>
      <c r="M23" s="64"/>
      <c r="N23" s="64"/>
      <c r="O23" s="64"/>
      <c r="P23" s="64"/>
      <c r="Q23" s="64"/>
      <c r="R23" s="65"/>
      <c r="S23" s="65"/>
      <c r="T23" s="65"/>
      <c r="U23" s="65"/>
      <c r="V23" s="66"/>
    </row>
    <row r="24" spans="2:24" ht="15" customHeight="1" thickBot="1" x14ac:dyDescent="0.25">
      <c r="B24" s="295"/>
      <c r="C24" s="48"/>
      <c r="D24" s="56"/>
      <c r="E24" s="58">
        <f t="shared" si="0"/>
        <v>0</v>
      </c>
      <c r="F24" s="61" t="e">
        <f t="shared" si="1"/>
        <v>#DIV/0!</v>
      </c>
      <c r="G24" s="63"/>
      <c r="H24" s="64"/>
      <c r="I24" s="64"/>
      <c r="J24" s="46"/>
      <c r="K24" s="64"/>
      <c r="L24" s="64"/>
      <c r="M24" s="64"/>
      <c r="N24" s="64"/>
      <c r="O24" s="64"/>
      <c r="P24" s="64"/>
      <c r="Q24" s="64"/>
      <c r="R24" s="65"/>
      <c r="S24" s="65"/>
      <c r="T24" s="65"/>
      <c r="U24" s="65"/>
      <c r="V24" s="66"/>
    </row>
    <row r="25" spans="2:24" ht="15.75" customHeight="1" thickBot="1" x14ac:dyDescent="0.25">
      <c r="B25" s="296"/>
      <c r="C25" s="49"/>
      <c r="D25" s="70"/>
      <c r="E25" s="59">
        <f t="shared" si="0"/>
        <v>0</v>
      </c>
      <c r="F25" s="62" t="e">
        <f t="shared" si="1"/>
        <v>#DIV/0!</v>
      </c>
      <c r="G25" s="71"/>
      <c r="H25" s="72"/>
      <c r="I25" s="72"/>
      <c r="J25" s="73"/>
      <c r="K25" s="72"/>
      <c r="L25" s="72"/>
      <c r="M25" s="72"/>
      <c r="N25" s="72"/>
      <c r="O25" s="72"/>
      <c r="P25" s="72"/>
      <c r="Q25" s="72"/>
      <c r="R25" s="74"/>
      <c r="S25" s="74"/>
      <c r="T25" s="74"/>
      <c r="U25" s="74"/>
      <c r="V25" s="75"/>
    </row>
    <row r="26" spans="2:24" x14ac:dyDescent="0.2">
      <c r="B26" s="44"/>
      <c r="C26" s="44"/>
      <c r="D26" s="43"/>
      <c r="E26" s="42"/>
      <c r="F26" s="42"/>
      <c r="G26" s="41"/>
      <c r="H26" s="39"/>
      <c r="I26" s="39"/>
      <c r="J26" s="40"/>
      <c r="K26" s="39"/>
      <c r="L26" s="39"/>
      <c r="M26" s="39"/>
      <c r="N26" s="39"/>
      <c r="O26" s="39"/>
      <c r="P26" s="39"/>
      <c r="Q26" s="39"/>
    </row>
    <row r="27" spans="2:24" x14ac:dyDescent="0.2">
      <c r="B27" s="37"/>
      <c r="D27" s="38"/>
      <c r="E27" s="36"/>
    </row>
    <row r="28" spans="2:24" x14ac:dyDescent="0.2">
      <c r="B28" s="37"/>
      <c r="D28" s="38"/>
      <c r="E28" s="36"/>
    </row>
  </sheetData>
  <mergeCells count="7">
    <mergeCell ref="B5:B25"/>
    <mergeCell ref="H3:J3"/>
    <mergeCell ref="B2:V2"/>
    <mergeCell ref="K3:V3"/>
    <mergeCell ref="B3:D3"/>
    <mergeCell ref="E3:G3"/>
    <mergeCell ref="B4:V4"/>
  </mergeCells>
  <phoneticPr fontId="28" type="noConversion"/>
  <printOptions horizontalCentered="1" verticalCentered="1"/>
  <pageMargins left="0.25" right="0.25" top="0.25" bottom="0.25" header="0.5" footer="0.5"/>
  <pageSetup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6081-8B5B-4BAC-B32F-397472BCB6FC}">
  <sheetPr>
    <pageSetUpPr autoPageBreaks="0"/>
  </sheetPr>
  <dimension ref="B2:K35"/>
  <sheetViews>
    <sheetView showGridLines="0" zoomScale="80" zoomScaleNormal="80" workbookViewId="0">
      <selection activeCell="H27" sqref="H27"/>
    </sheetView>
  </sheetViews>
  <sheetFormatPr baseColWidth="10" defaultColWidth="9.140625" defaultRowHeight="12.75" x14ac:dyDescent="0.2"/>
  <cols>
    <col min="1" max="1" width="2.5703125" style="33" customWidth="1"/>
    <col min="2" max="2" width="20.7109375" style="33" customWidth="1"/>
    <col min="3" max="16384" width="9.140625" style="33"/>
  </cols>
  <sheetData>
    <row r="2" spans="2:11" ht="18" x14ac:dyDescent="0.25">
      <c r="B2" s="309" t="s">
        <v>151</v>
      </c>
      <c r="C2" s="309"/>
      <c r="D2" s="309"/>
      <c r="E2" s="309"/>
      <c r="F2" s="309"/>
      <c r="G2" s="309"/>
      <c r="H2" s="309"/>
      <c r="I2" s="309"/>
      <c r="J2" s="309"/>
      <c r="K2" s="309"/>
    </row>
    <row r="3" spans="2:11" x14ac:dyDescent="0.2">
      <c r="B3" s="125"/>
      <c r="C3" s="126"/>
      <c r="D3" s="126"/>
      <c r="E3" s="126"/>
      <c r="F3" s="126"/>
      <c r="G3" s="126"/>
      <c r="H3" s="126"/>
      <c r="I3" s="126"/>
      <c r="J3" s="126"/>
      <c r="K3" s="127"/>
    </row>
    <row r="4" spans="2:11" x14ac:dyDescent="0.2">
      <c r="B4" s="128"/>
      <c r="C4" s="65"/>
      <c r="D4" s="65"/>
      <c r="E4" s="65"/>
      <c r="F4" s="65"/>
      <c r="G4" s="65"/>
      <c r="H4" s="65"/>
      <c r="I4" s="65"/>
      <c r="J4" s="65"/>
      <c r="K4" s="129"/>
    </row>
    <row r="5" spans="2:11" x14ac:dyDescent="0.2">
      <c r="B5" s="128"/>
      <c r="C5" s="65"/>
      <c r="D5" s="65"/>
      <c r="E5" s="65"/>
      <c r="F5" s="65"/>
      <c r="G5" s="65"/>
      <c r="H5" s="65"/>
      <c r="I5" s="65"/>
      <c r="J5" s="65"/>
      <c r="K5" s="129"/>
    </row>
    <row r="6" spans="2:11" x14ac:dyDescent="0.2">
      <c r="B6" s="128"/>
      <c r="C6" s="65"/>
      <c r="D6" s="65"/>
      <c r="E6" s="65"/>
      <c r="F6" s="65"/>
      <c r="G6" s="65"/>
      <c r="H6" s="65"/>
      <c r="I6" s="65"/>
      <c r="J6" s="65"/>
      <c r="K6" s="129"/>
    </row>
    <row r="7" spans="2:11" x14ac:dyDescent="0.2">
      <c r="B7" s="128"/>
      <c r="C7" s="65"/>
      <c r="D7" s="65"/>
      <c r="E7" s="65"/>
      <c r="F7" s="65"/>
      <c r="G7" s="65"/>
      <c r="H7" s="65"/>
      <c r="I7" s="65"/>
      <c r="J7" s="65"/>
      <c r="K7" s="129"/>
    </row>
    <row r="8" spans="2:11" x14ac:dyDescent="0.2">
      <c r="B8" s="128"/>
      <c r="C8" s="65"/>
      <c r="D8" s="65"/>
      <c r="E8" s="65"/>
      <c r="F8" s="65"/>
      <c r="G8" s="65"/>
      <c r="H8" s="65"/>
      <c r="I8" s="65"/>
      <c r="J8" s="65"/>
      <c r="K8" s="129"/>
    </row>
    <row r="9" spans="2:11" x14ac:dyDescent="0.2">
      <c r="B9" s="128"/>
      <c r="C9" s="65"/>
      <c r="D9" s="65"/>
      <c r="E9" s="65"/>
      <c r="F9" s="65"/>
      <c r="G9" s="65"/>
      <c r="H9" s="65"/>
      <c r="I9" s="65"/>
      <c r="J9" s="65"/>
      <c r="K9" s="129"/>
    </row>
    <row r="10" spans="2:11" x14ac:dyDescent="0.2">
      <c r="B10" s="128"/>
      <c r="C10" s="65"/>
      <c r="D10" s="65"/>
      <c r="E10" s="65"/>
      <c r="F10" s="65"/>
      <c r="G10" s="65"/>
      <c r="H10" s="65"/>
      <c r="I10" s="65"/>
      <c r="J10" s="65"/>
      <c r="K10" s="129"/>
    </row>
    <row r="11" spans="2:11" x14ac:dyDescent="0.2">
      <c r="B11" s="128"/>
      <c r="C11" s="65"/>
      <c r="D11" s="65"/>
      <c r="E11" s="65"/>
      <c r="F11" s="65"/>
      <c r="G11" s="65"/>
      <c r="H11" s="65"/>
      <c r="I11" s="65"/>
      <c r="J11" s="65"/>
      <c r="K11" s="129"/>
    </row>
    <row r="12" spans="2:11" x14ac:dyDescent="0.2">
      <c r="B12" s="128"/>
      <c r="C12" s="65"/>
      <c r="D12" s="65"/>
      <c r="E12" s="65"/>
      <c r="F12" s="65"/>
      <c r="G12" s="65"/>
      <c r="H12" s="65"/>
      <c r="I12" s="65"/>
      <c r="J12" s="65"/>
      <c r="K12" s="129"/>
    </row>
    <row r="13" spans="2:11" x14ac:dyDescent="0.2">
      <c r="B13" s="128"/>
      <c r="C13" s="65"/>
      <c r="D13" s="65"/>
      <c r="E13" s="65"/>
      <c r="F13" s="65"/>
      <c r="G13" s="65"/>
      <c r="H13" s="65"/>
      <c r="I13" s="65"/>
      <c r="J13" s="65"/>
      <c r="K13" s="129"/>
    </row>
    <row r="14" spans="2:11" x14ac:dyDescent="0.2">
      <c r="B14" s="128"/>
      <c r="C14" s="65"/>
      <c r="D14" s="65"/>
      <c r="E14" s="65"/>
      <c r="F14" s="65"/>
      <c r="G14" s="65"/>
      <c r="H14" s="65"/>
      <c r="I14" s="65"/>
      <c r="J14" s="65"/>
      <c r="K14" s="129"/>
    </row>
    <row r="15" spans="2:11" x14ac:dyDescent="0.2">
      <c r="B15" s="128"/>
      <c r="C15" s="65"/>
      <c r="D15" s="65"/>
      <c r="E15" s="65"/>
      <c r="F15" s="65"/>
      <c r="G15" s="65"/>
      <c r="H15" s="65"/>
      <c r="I15" s="65"/>
      <c r="J15" s="65"/>
      <c r="K15" s="129"/>
    </row>
    <row r="16" spans="2:11" x14ac:dyDescent="0.2">
      <c r="B16" s="128"/>
      <c r="C16" s="65"/>
      <c r="D16" s="65"/>
      <c r="E16" s="65"/>
      <c r="F16" s="65"/>
      <c r="G16" s="65"/>
      <c r="H16" s="65"/>
      <c r="I16" s="65"/>
      <c r="J16" s="65"/>
      <c r="K16" s="129"/>
    </row>
    <row r="17" spans="2:11" x14ac:dyDescent="0.2">
      <c r="B17" s="128"/>
      <c r="C17" s="65"/>
      <c r="D17" s="65"/>
      <c r="E17" s="65"/>
      <c r="F17" s="65"/>
      <c r="G17" s="65"/>
      <c r="H17" s="65"/>
      <c r="I17" s="65"/>
      <c r="J17" s="65"/>
      <c r="K17" s="129"/>
    </row>
    <row r="18" spans="2:11" x14ac:dyDescent="0.2">
      <c r="B18" s="128"/>
      <c r="C18" s="65"/>
      <c r="D18" s="65"/>
      <c r="E18" s="65"/>
      <c r="F18" s="65"/>
      <c r="G18" s="65"/>
      <c r="H18" s="65"/>
      <c r="I18" s="65"/>
      <c r="J18" s="65"/>
      <c r="K18" s="129"/>
    </row>
    <row r="19" spans="2:11" x14ac:dyDescent="0.2">
      <c r="B19" s="128"/>
      <c r="C19" s="65"/>
      <c r="D19" s="65"/>
      <c r="E19" s="65"/>
      <c r="F19" s="65"/>
      <c r="G19" s="65"/>
      <c r="H19" s="65"/>
      <c r="I19" s="65"/>
      <c r="J19" s="65"/>
      <c r="K19" s="129"/>
    </row>
    <row r="20" spans="2:11" x14ac:dyDescent="0.2">
      <c r="B20" s="128"/>
      <c r="C20" s="65"/>
      <c r="D20" s="65"/>
      <c r="E20" s="65"/>
      <c r="F20" s="65"/>
      <c r="G20" s="65"/>
      <c r="H20" s="65"/>
      <c r="I20" s="65"/>
      <c r="J20" s="65"/>
      <c r="K20" s="129"/>
    </row>
    <row r="21" spans="2:11" x14ac:dyDescent="0.2">
      <c r="B21" s="128"/>
      <c r="C21" s="65"/>
      <c r="D21" s="65"/>
      <c r="E21" s="65"/>
      <c r="F21" s="65"/>
      <c r="G21" s="65"/>
      <c r="H21" s="65"/>
      <c r="I21" s="65"/>
      <c r="J21" s="65"/>
      <c r="K21" s="129"/>
    </row>
    <row r="22" spans="2:11" x14ac:dyDescent="0.2">
      <c r="B22" s="128"/>
      <c r="C22" s="65"/>
      <c r="D22" s="65"/>
      <c r="E22" s="65"/>
      <c r="F22" s="65"/>
      <c r="G22" s="65"/>
      <c r="H22" s="65"/>
      <c r="I22" s="65"/>
      <c r="J22" s="65"/>
      <c r="K22" s="129"/>
    </row>
    <row r="23" spans="2:11" x14ac:dyDescent="0.2">
      <c r="B23" s="128"/>
      <c r="C23" s="65"/>
      <c r="D23" s="65"/>
      <c r="E23" s="65"/>
      <c r="F23" s="65"/>
      <c r="G23" s="65"/>
      <c r="H23" s="65"/>
      <c r="I23" s="65"/>
      <c r="J23" s="65"/>
      <c r="K23" s="129"/>
    </row>
    <row r="24" spans="2:11" x14ac:dyDescent="0.2">
      <c r="B24" s="128"/>
      <c r="C24" s="65"/>
      <c r="D24" s="65"/>
      <c r="E24" s="65"/>
      <c r="F24" s="65"/>
      <c r="G24" s="65"/>
      <c r="H24" s="65"/>
      <c r="I24" s="65"/>
      <c r="J24" s="65"/>
      <c r="K24" s="129"/>
    </row>
    <row r="25" spans="2:11" ht="13.5" thickBot="1" x14ac:dyDescent="0.25">
      <c r="B25" s="128"/>
      <c r="C25" s="65"/>
      <c r="D25" s="65"/>
      <c r="E25" s="65"/>
      <c r="F25" s="65"/>
      <c r="G25" s="65"/>
      <c r="H25" s="65"/>
      <c r="I25" s="65"/>
      <c r="J25" s="65"/>
      <c r="K25" s="129"/>
    </row>
    <row r="26" spans="2:11" ht="13.5" thickBot="1" x14ac:dyDescent="0.25">
      <c r="B26" s="76" t="s">
        <v>74</v>
      </c>
      <c r="C26" s="76" t="s">
        <v>75</v>
      </c>
      <c r="D26" s="76" t="s">
        <v>76</v>
      </c>
      <c r="E26" s="76" t="s">
        <v>77</v>
      </c>
      <c r="F26" s="76" t="s">
        <v>78</v>
      </c>
      <c r="G26" s="76" t="s">
        <v>79</v>
      </c>
      <c r="H26" s="77" t="s">
        <v>80</v>
      </c>
      <c r="I26" s="88" t="s">
        <v>81</v>
      </c>
      <c r="J26" s="65"/>
      <c r="K26" s="129"/>
    </row>
    <row r="27" spans="2:11" ht="13.5" thickBot="1" x14ac:dyDescent="0.25">
      <c r="B27" s="130" t="s">
        <v>82</v>
      </c>
      <c r="C27" s="79"/>
      <c r="D27" s="80"/>
      <c r="E27" s="80"/>
      <c r="F27" s="80"/>
      <c r="G27" s="80"/>
      <c r="H27" s="81"/>
      <c r="I27" s="87">
        <f>SUM(C27:H27)</f>
        <v>0</v>
      </c>
      <c r="J27" s="65"/>
      <c r="K27" s="129"/>
    </row>
    <row r="28" spans="2:11" ht="13.5" thickBot="1" x14ac:dyDescent="0.25">
      <c r="B28" s="130" t="s">
        <v>83</v>
      </c>
      <c r="C28" s="82" t="e">
        <f t="shared" ref="C28:H28" si="0">C27/$I$27</f>
        <v>#DIV/0!</v>
      </c>
      <c r="D28" s="78" t="e">
        <f>D27/$I$27</f>
        <v>#DIV/0!</v>
      </c>
      <c r="E28" s="78" t="e">
        <f t="shared" si="0"/>
        <v>#DIV/0!</v>
      </c>
      <c r="F28" s="78" t="e">
        <f t="shared" si="0"/>
        <v>#DIV/0!</v>
      </c>
      <c r="G28" s="78" t="e">
        <f t="shared" si="0"/>
        <v>#DIV/0!</v>
      </c>
      <c r="H28" s="83" t="e">
        <f t="shared" si="0"/>
        <v>#DIV/0!</v>
      </c>
      <c r="I28" s="65"/>
      <c r="J28" s="65"/>
      <c r="K28" s="129"/>
    </row>
    <row r="29" spans="2:11" ht="13.5" thickBot="1" x14ac:dyDescent="0.25">
      <c r="B29" s="130" t="s">
        <v>84</v>
      </c>
      <c r="C29" s="84" t="e">
        <f>C28</f>
        <v>#DIV/0!</v>
      </c>
      <c r="D29" s="85" t="e">
        <f>C29+D28</f>
        <v>#DIV/0!</v>
      </c>
      <c r="E29" s="85" t="e">
        <f>D29+E28</f>
        <v>#DIV/0!</v>
      </c>
      <c r="F29" s="85" t="e">
        <f>E29+F28</f>
        <v>#DIV/0!</v>
      </c>
      <c r="G29" s="85" t="e">
        <f>F29+G28</f>
        <v>#DIV/0!</v>
      </c>
      <c r="H29" s="86" t="e">
        <f>G29+H28</f>
        <v>#DIV/0!</v>
      </c>
      <c r="I29" s="65"/>
      <c r="J29" s="65"/>
      <c r="K29" s="129"/>
    </row>
    <row r="30" spans="2:11" x14ac:dyDescent="0.2">
      <c r="B30" s="128"/>
      <c r="C30" s="65"/>
      <c r="D30" s="65"/>
      <c r="E30" s="65"/>
      <c r="F30" s="65"/>
      <c r="G30" s="65"/>
      <c r="H30" s="65"/>
      <c r="I30" s="65"/>
      <c r="J30" s="65"/>
      <c r="K30" s="129"/>
    </row>
    <row r="31" spans="2:11" x14ac:dyDescent="0.2">
      <c r="B31" s="131"/>
      <c r="C31" s="132"/>
      <c r="D31" s="132"/>
      <c r="E31" s="132"/>
      <c r="F31" s="133"/>
      <c r="G31" s="133"/>
      <c r="H31" s="133"/>
      <c r="I31" s="133"/>
      <c r="J31" s="133"/>
      <c r="K31" s="134"/>
    </row>
    <row r="32" spans="2:11" x14ac:dyDescent="0.2">
      <c r="B32" s="45"/>
      <c r="C32" s="45"/>
      <c r="D32" s="45"/>
      <c r="E32" s="45"/>
    </row>
    <row r="33" spans="2:5" x14ac:dyDescent="0.2">
      <c r="B33" s="45"/>
      <c r="C33" s="45"/>
      <c r="D33" s="45"/>
      <c r="E33" s="45"/>
    </row>
    <row r="34" spans="2:5" x14ac:dyDescent="0.2">
      <c r="B34" s="45"/>
      <c r="C34" s="45"/>
      <c r="D34" s="45"/>
      <c r="E34" s="45"/>
    </row>
    <row r="35" spans="2:5" x14ac:dyDescent="0.2">
      <c r="B35" s="45"/>
      <c r="C35" s="45"/>
      <c r="D35" s="45"/>
      <c r="E35" s="45"/>
    </row>
  </sheetData>
  <mergeCells count="1">
    <mergeCell ref="B2:K2"/>
  </mergeCells>
  <printOptions horizontalCentered="1"/>
  <pageMargins left="0.25" right="0.25" top="0.5" bottom="0.5" header="0.5" footer="0.25"/>
  <pageSetup scale="135" orientation="landscape" r:id="rId1"/>
  <headerFooter alignWithMargins="0">
    <oddFooter>&amp;L&amp;F - &amp;A&amp;R&amp;D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176A-E175-461B-B5E1-23FBB468C1A7}">
  <dimension ref="B1:K15"/>
  <sheetViews>
    <sheetView zoomScale="80" zoomScaleNormal="80" workbookViewId="0">
      <selection activeCell="B2" sqref="B2:K2"/>
    </sheetView>
  </sheetViews>
  <sheetFormatPr baseColWidth="10" defaultColWidth="9.140625" defaultRowHeight="15" x14ac:dyDescent="0.25"/>
  <cols>
    <col min="1" max="1" width="2.7109375" style="1" customWidth="1"/>
    <col min="2" max="2" width="9.140625" style="1"/>
    <col min="3" max="3" width="22.28515625" style="1" customWidth="1"/>
    <col min="4" max="16384" width="9.140625" style="1"/>
  </cols>
  <sheetData>
    <row r="1" spans="2:11" ht="14.25" customHeight="1" thickBot="1" x14ac:dyDescent="0.3"/>
    <row r="2" spans="2:11" ht="30.75" thickBot="1" x14ac:dyDescent="0.3">
      <c r="B2" s="310" t="s">
        <v>85</v>
      </c>
      <c r="C2" s="311"/>
      <c r="D2" s="311"/>
      <c r="E2" s="311"/>
      <c r="F2" s="311"/>
      <c r="G2" s="311"/>
      <c r="H2" s="311"/>
      <c r="I2" s="311"/>
      <c r="J2" s="311"/>
      <c r="K2" s="312"/>
    </row>
    <row r="3" spans="2:11" x14ac:dyDescent="0.25">
      <c r="B3" s="326" t="s">
        <v>92</v>
      </c>
      <c r="C3" s="338" t="s">
        <v>87</v>
      </c>
      <c r="D3" s="339"/>
      <c r="E3" s="340"/>
      <c r="F3" s="340"/>
      <c r="G3" s="340"/>
      <c r="H3" s="340"/>
      <c r="I3" s="340"/>
      <c r="J3" s="340"/>
      <c r="K3" s="341"/>
    </row>
    <row r="4" spans="2:11" ht="15.75" thickBot="1" x14ac:dyDescent="0.3">
      <c r="B4" s="327"/>
      <c r="C4" s="313"/>
      <c r="D4" s="314"/>
      <c r="E4" s="315"/>
      <c r="F4" s="315"/>
      <c r="G4" s="315"/>
      <c r="H4" s="315"/>
      <c r="I4" s="315"/>
      <c r="J4" s="315"/>
      <c r="K4" s="316"/>
    </row>
    <row r="5" spans="2:11" x14ac:dyDescent="0.25">
      <c r="B5" s="328" t="s">
        <v>93</v>
      </c>
      <c r="C5" s="313" t="s">
        <v>88</v>
      </c>
      <c r="D5" s="314"/>
      <c r="E5" s="315"/>
      <c r="F5" s="315"/>
      <c r="G5" s="315"/>
      <c r="H5" s="315"/>
      <c r="I5" s="315"/>
      <c r="J5" s="315"/>
      <c r="K5" s="316"/>
    </row>
    <row r="6" spans="2:11" ht="15.75" thickBot="1" x14ac:dyDescent="0.3">
      <c r="B6" s="329"/>
      <c r="C6" s="313"/>
      <c r="D6" s="314"/>
      <c r="E6" s="315"/>
      <c r="F6" s="315"/>
      <c r="G6" s="315"/>
      <c r="H6" s="315"/>
      <c r="I6" s="315"/>
      <c r="J6" s="315"/>
      <c r="K6" s="316"/>
    </row>
    <row r="7" spans="2:11" x14ac:dyDescent="0.25">
      <c r="B7" s="330" t="s">
        <v>75</v>
      </c>
      <c r="C7" s="313" t="s">
        <v>89</v>
      </c>
      <c r="D7" s="314"/>
      <c r="E7" s="315"/>
      <c r="F7" s="315"/>
      <c r="G7" s="315"/>
      <c r="H7" s="315"/>
      <c r="I7" s="315"/>
      <c r="J7" s="315"/>
      <c r="K7" s="316"/>
    </row>
    <row r="8" spans="2:11" ht="15.75" thickBot="1" x14ac:dyDescent="0.3">
      <c r="B8" s="331"/>
      <c r="C8" s="313"/>
      <c r="D8" s="314"/>
      <c r="E8" s="315"/>
      <c r="F8" s="315"/>
      <c r="G8" s="315"/>
      <c r="H8" s="315"/>
      <c r="I8" s="315"/>
      <c r="J8" s="315"/>
      <c r="K8" s="316"/>
    </row>
    <row r="9" spans="2:11" x14ac:dyDescent="0.25">
      <c r="B9" s="332" t="s">
        <v>94</v>
      </c>
      <c r="C9" s="313" t="s">
        <v>90</v>
      </c>
      <c r="D9" s="314"/>
      <c r="E9" s="315"/>
      <c r="F9" s="315"/>
      <c r="G9" s="315"/>
      <c r="H9" s="315"/>
      <c r="I9" s="315"/>
      <c r="J9" s="315"/>
      <c r="K9" s="316"/>
    </row>
    <row r="10" spans="2:11" ht="15.75" thickBot="1" x14ac:dyDescent="0.3">
      <c r="B10" s="333"/>
      <c r="C10" s="313"/>
      <c r="D10" s="314"/>
      <c r="E10" s="315"/>
      <c r="F10" s="315"/>
      <c r="G10" s="315"/>
      <c r="H10" s="315"/>
      <c r="I10" s="315"/>
      <c r="J10" s="315"/>
      <c r="K10" s="316"/>
    </row>
    <row r="11" spans="2:11" ht="45.75" thickBot="1" x14ac:dyDescent="0.3">
      <c r="B11" s="90" t="s">
        <v>95</v>
      </c>
      <c r="C11" s="89" t="s">
        <v>91</v>
      </c>
      <c r="D11" s="317"/>
      <c r="E11" s="318"/>
      <c r="F11" s="318"/>
      <c r="G11" s="318"/>
      <c r="H11" s="318"/>
      <c r="I11" s="318"/>
      <c r="J11" s="318"/>
      <c r="K11" s="319"/>
    </row>
    <row r="12" spans="2:11" ht="15.75" thickBot="1" x14ac:dyDescent="0.3"/>
    <row r="13" spans="2:11" ht="48.75" customHeight="1" x14ac:dyDescent="0.25">
      <c r="B13" s="334" t="s">
        <v>86</v>
      </c>
      <c r="C13" s="335"/>
      <c r="D13" s="320"/>
      <c r="E13" s="321"/>
      <c r="F13" s="321"/>
      <c r="G13" s="321"/>
      <c r="H13" s="321"/>
      <c r="I13" s="321"/>
      <c r="J13" s="321"/>
      <c r="K13" s="322"/>
    </row>
    <row r="14" spans="2:11" ht="15.75" thickBot="1" x14ac:dyDescent="0.3">
      <c r="B14" s="336"/>
      <c r="C14" s="337"/>
      <c r="D14" s="323"/>
      <c r="E14" s="324"/>
      <c r="F14" s="324"/>
      <c r="G14" s="324"/>
      <c r="H14" s="324"/>
      <c r="I14" s="324"/>
      <c r="J14" s="324"/>
      <c r="K14" s="325"/>
    </row>
    <row r="15" spans="2:11" x14ac:dyDescent="0.25">
      <c r="D15" s="91"/>
    </row>
  </sheetData>
  <mergeCells count="16">
    <mergeCell ref="B2:K2"/>
    <mergeCell ref="C9:C10"/>
    <mergeCell ref="D9:K10"/>
    <mergeCell ref="D11:K11"/>
    <mergeCell ref="D13:K14"/>
    <mergeCell ref="B3:B4"/>
    <mergeCell ref="B5:B6"/>
    <mergeCell ref="B7:B8"/>
    <mergeCell ref="B9:B10"/>
    <mergeCell ref="B13:C14"/>
    <mergeCell ref="C3:C4"/>
    <mergeCell ref="D3:K4"/>
    <mergeCell ref="C5:C6"/>
    <mergeCell ref="D5:K6"/>
    <mergeCell ref="C7:C8"/>
    <mergeCell ref="D7:K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7E23-6188-42FA-A683-BCB761C0B74B}">
  <sheetPr>
    <pageSetUpPr fitToPage="1"/>
  </sheetPr>
  <dimension ref="B1:F25"/>
  <sheetViews>
    <sheetView zoomScale="60" zoomScaleNormal="60" workbookViewId="0">
      <selection activeCell="J9" sqref="J9"/>
    </sheetView>
  </sheetViews>
  <sheetFormatPr baseColWidth="10" defaultColWidth="9.140625" defaultRowHeight="12.75" x14ac:dyDescent="0.2"/>
  <cols>
    <col min="1" max="1" width="3.85546875" style="156" customWidth="1"/>
    <col min="2" max="2" width="37.7109375" style="159" customWidth="1"/>
    <col min="3" max="3" width="45.7109375" style="156" customWidth="1"/>
    <col min="4" max="4" width="91" style="156" customWidth="1"/>
    <col min="5" max="5" width="44.42578125" style="156" customWidth="1"/>
    <col min="6" max="6" width="40.140625" style="156" customWidth="1"/>
    <col min="7" max="16384" width="9.140625" style="156"/>
  </cols>
  <sheetData>
    <row r="1" spans="2:6" ht="19.5" customHeight="1" x14ac:dyDescent="0.2"/>
    <row r="2" spans="2:6" ht="55.5" customHeight="1" x14ac:dyDescent="0.2">
      <c r="B2" s="342" t="s">
        <v>180</v>
      </c>
      <c r="C2" s="342"/>
      <c r="D2" s="342"/>
      <c r="E2" s="342"/>
      <c r="F2" s="342"/>
    </row>
    <row r="3" spans="2:6" ht="24.75" customHeight="1" x14ac:dyDescent="0.25">
      <c r="B3" s="161" t="s">
        <v>167</v>
      </c>
      <c r="C3" s="343"/>
      <c r="D3" s="343"/>
      <c r="E3" s="162" t="s">
        <v>138</v>
      </c>
      <c r="F3" s="163"/>
    </row>
    <row r="4" spans="2:6" ht="24.75" customHeight="1" x14ac:dyDescent="0.25">
      <c r="B4" s="161" t="s">
        <v>168</v>
      </c>
      <c r="C4" s="344"/>
      <c r="D4" s="344"/>
      <c r="E4" s="164" t="s">
        <v>178</v>
      </c>
      <c r="F4" s="165"/>
    </row>
    <row r="5" spans="2:6" s="157" customFormat="1" ht="24.75" customHeight="1" x14ac:dyDescent="0.2">
      <c r="B5" s="226" t="s">
        <v>169</v>
      </c>
      <c r="C5" s="227" t="s">
        <v>170</v>
      </c>
      <c r="D5" s="227" t="s">
        <v>171</v>
      </c>
      <c r="E5" s="227" t="s">
        <v>172</v>
      </c>
      <c r="F5" s="227" t="s">
        <v>173</v>
      </c>
    </row>
    <row r="6" spans="2:6" ht="37.5" customHeight="1" x14ac:dyDescent="0.2">
      <c r="B6" s="228" t="s">
        <v>174</v>
      </c>
      <c r="C6" s="228" t="s">
        <v>175</v>
      </c>
      <c r="D6" s="228" t="s">
        <v>181</v>
      </c>
      <c r="E6" s="229" t="s">
        <v>176</v>
      </c>
      <c r="F6" s="228" t="s">
        <v>177</v>
      </c>
    </row>
    <row r="7" spans="2:6" ht="84.95" customHeight="1" x14ac:dyDescent="0.2">
      <c r="B7" s="158"/>
      <c r="C7" s="158"/>
      <c r="D7" s="347"/>
      <c r="E7" s="160"/>
      <c r="F7" s="158"/>
    </row>
    <row r="8" spans="2:6" ht="84.95" customHeight="1" x14ac:dyDescent="0.2">
      <c r="B8" s="158"/>
      <c r="C8" s="158"/>
      <c r="D8" s="347"/>
      <c r="E8" s="158"/>
      <c r="F8" s="158"/>
    </row>
    <row r="9" spans="2:6" ht="84.95" customHeight="1" x14ac:dyDescent="0.2">
      <c r="B9" s="158"/>
      <c r="C9" s="158"/>
      <c r="D9" s="347"/>
      <c r="E9" s="158"/>
      <c r="F9" s="158"/>
    </row>
    <row r="10" spans="2:6" ht="84.95" customHeight="1" x14ac:dyDescent="0.2">
      <c r="B10" s="158"/>
      <c r="C10" s="158"/>
      <c r="D10" s="347"/>
      <c r="E10" s="158"/>
      <c r="F10" s="158"/>
    </row>
    <row r="11" spans="2:6" ht="84.95" customHeight="1" x14ac:dyDescent="0.2">
      <c r="B11" s="158"/>
      <c r="C11" s="158"/>
      <c r="D11" s="347"/>
      <c r="E11" s="158"/>
      <c r="F11" s="158"/>
    </row>
    <row r="12" spans="2:6" ht="84.95" customHeight="1" x14ac:dyDescent="0.2">
      <c r="B12" s="158"/>
      <c r="C12" s="158"/>
      <c r="D12" s="347"/>
      <c r="E12" s="158"/>
      <c r="F12" s="158"/>
    </row>
    <row r="13" spans="2:6" ht="84.95" customHeight="1" x14ac:dyDescent="0.2">
      <c r="B13" s="158"/>
      <c r="C13" s="158"/>
      <c r="D13" s="347"/>
      <c r="E13" s="158"/>
      <c r="F13" s="158"/>
    </row>
    <row r="14" spans="2:6" ht="84.95" customHeight="1" x14ac:dyDescent="0.2">
      <c r="B14" s="158"/>
      <c r="C14" s="158"/>
      <c r="D14" s="347"/>
      <c r="E14" s="158"/>
      <c r="F14" s="158"/>
    </row>
    <row r="16" spans="2:6" ht="26.25" customHeight="1" x14ac:dyDescent="0.2">
      <c r="B16" s="345" t="s">
        <v>179</v>
      </c>
      <c r="C16" s="345"/>
      <c r="D16" s="345"/>
      <c r="E16" s="345"/>
      <c r="F16" s="345"/>
    </row>
    <row r="17" spans="2:6" ht="26.25" customHeight="1" x14ac:dyDescent="0.2">
      <c r="B17" s="345" t="s">
        <v>170</v>
      </c>
      <c r="C17" s="345"/>
      <c r="D17" s="166" t="s">
        <v>171</v>
      </c>
      <c r="E17" s="348" t="s">
        <v>172</v>
      </c>
      <c r="F17" s="349"/>
    </row>
    <row r="18" spans="2:6" x14ac:dyDescent="0.2">
      <c r="B18" s="346"/>
      <c r="C18" s="346"/>
      <c r="D18" s="347"/>
      <c r="E18" s="347"/>
      <c r="F18" s="347"/>
    </row>
    <row r="19" spans="2:6" x14ac:dyDescent="0.2">
      <c r="B19" s="346"/>
      <c r="C19" s="346"/>
      <c r="D19" s="347"/>
      <c r="E19" s="347"/>
      <c r="F19" s="347"/>
    </row>
    <row r="20" spans="2:6" x14ac:dyDescent="0.2">
      <c r="B20" s="346"/>
      <c r="C20" s="346"/>
      <c r="D20" s="347"/>
      <c r="E20" s="347"/>
      <c r="F20" s="347"/>
    </row>
    <row r="21" spans="2:6" x14ac:dyDescent="0.2">
      <c r="B21" s="346"/>
      <c r="C21" s="346"/>
      <c r="D21" s="347"/>
      <c r="E21" s="347"/>
      <c r="F21" s="347"/>
    </row>
    <row r="22" spans="2:6" ht="33.75" customHeight="1" x14ac:dyDescent="0.2">
      <c r="B22" s="346"/>
      <c r="C22" s="346"/>
      <c r="D22" s="347"/>
      <c r="E22" s="347"/>
      <c r="F22" s="347"/>
    </row>
    <row r="23" spans="2:6" x14ac:dyDescent="0.2">
      <c r="B23" s="346"/>
      <c r="C23" s="346"/>
      <c r="D23" s="347"/>
      <c r="E23" s="347"/>
      <c r="F23" s="347"/>
    </row>
    <row r="24" spans="2:6" x14ac:dyDescent="0.2">
      <c r="B24" s="346"/>
      <c r="C24" s="346"/>
      <c r="D24" s="347"/>
      <c r="E24" s="347"/>
      <c r="F24" s="347"/>
    </row>
    <row r="25" spans="2:6" x14ac:dyDescent="0.2">
      <c r="B25" s="346"/>
      <c r="C25" s="346"/>
      <c r="D25" s="347"/>
      <c r="E25" s="347"/>
      <c r="F25" s="347"/>
    </row>
  </sheetData>
  <mergeCells count="10">
    <mergeCell ref="B2:F2"/>
    <mergeCell ref="C3:D3"/>
    <mergeCell ref="C4:D4"/>
    <mergeCell ref="B16:F16"/>
    <mergeCell ref="B18:C25"/>
    <mergeCell ref="D18:D25"/>
    <mergeCell ref="E18:F25"/>
    <mergeCell ref="B17:C17"/>
    <mergeCell ref="E17:F17"/>
    <mergeCell ref="D7:D14"/>
  </mergeCells>
  <printOptions horizontalCentered="1"/>
  <pageMargins left="0.95" right="0.2" top="0.75" bottom="0.75" header="0.3" footer="0.3"/>
  <pageSetup scale="33" orientation="portrait" verticalDpi="300" r:id="rId1"/>
  <headerFooter alignWithMargins="0"/>
  <colBreaks count="1" manualBreakCount="1">
    <brk id="6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B566-0ED2-4A02-8DC1-E7E77E5E4AE2}">
  <dimension ref="B2:L28"/>
  <sheetViews>
    <sheetView showGridLines="0" workbookViewId="0">
      <selection activeCell="F5" sqref="F5"/>
    </sheetView>
  </sheetViews>
  <sheetFormatPr baseColWidth="10" defaultRowHeight="15" x14ac:dyDescent="0.25"/>
  <cols>
    <col min="1" max="1" width="2.28515625" customWidth="1"/>
    <col min="2" max="2" width="24.28515625" customWidth="1"/>
    <col min="3" max="3" width="14.42578125" customWidth="1"/>
    <col min="4" max="4" width="31" customWidth="1"/>
    <col min="5" max="5" width="12.42578125" customWidth="1"/>
    <col min="6" max="6" width="23.140625" customWidth="1"/>
    <col min="7" max="7" width="12.42578125" customWidth="1"/>
    <col min="8" max="20" width="11.28515625" customWidth="1"/>
    <col min="21" max="21" width="14.42578125" customWidth="1"/>
    <col min="22" max="22" width="12.5703125" bestFit="1" customWidth="1"/>
  </cols>
  <sheetData>
    <row r="2" spans="2:12" ht="18.75" x14ac:dyDescent="0.3">
      <c r="B2" s="357" t="s">
        <v>157</v>
      </c>
      <c r="C2" s="357"/>
      <c r="D2" s="357"/>
      <c r="E2" s="357"/>
      <c r="F2" s="357"/>
      <c r="G2" s="358"/>
      <c r="H2" s="358"/>
      <c r="I2" s="358"/>
      <c r="J2" s="358"/>
      <c r="K2" s="358"/>
      <c r="L2" s="358"/>
    </row>
    <row r="3" spans="2:12" ht="15.75" x14ac:dyDescent="0.25">
      <c r="B3" s="169" t="s">
        <v>152</v>
      </c>
      <c r="C3" s="169" t="s">
        <v>158</v>
      </c>
      <c r="D3" s="169" t="s">
        <v>159</v>
      </c>
      <c r="E3" s="169" t="s">
        <v>153</v>
      </c>
      <c r="F3" s="169" t="s">
        <v>160</v>
      </c>
      <c r="G3" s="359"/>
      <c r="H3" s="356"/>
      <c r="I3" s="356"/>
      <c r="J3" s="356"/>
      <c r="K3" s="356"/>
      <c r="L3" s="356"/>
    </row>
    <row r="4" spans="2:12" ht="15" customHeight="1" x14ac:dyDescent="0.25">
      <c r="B4" s="354" t="s">
        <v>154</v>
      </c>
      <c r="C4" s="135"/>
      <c r="D4" s="135"/>
      <c r="E4" s="135"/>
      <c r="F4" s="136">
        <f>D4-E4</f>
        <v>0</v>
      </c>
      <c r="G4" s="360"/>
      <c r="H4" s="356"/>
      <c r="I4" s="356"/>
      <c r="J4" s="356"/>
      <c r="K4" s="356"/>
      <c r="L4" s="356"/>
    </row>
    <row r="5" spans="2:12" ht="15.75" x14ac:dyDescent="0.25">
      <c r="B5" s="354"/>
      <c r="C5" s="137"/>
      <c r="D5" s="137"/>
      <c r="E5" s="138">
        <f>C5*E4</f>
        <v>0</v>
      </c>
      <c r="F5" s="139">
        <f>D5-E5</f>
        <v>0</v>
      </c>
      <c r="G5" s="361"/>
      <c r="H5" s="356"/>
      <c r="I5" s="356"/>
      <c r="J5" s="356"/>
      <c r="K5" s="356"/>
      <c r="L5" s="356"/>
    </row>
    <row r="6" spans="2:12" ht="15.75" x14ac:dyDescent="0.25">
      <c r="B6" s="362"/>
      <c r="C6" s="363"/>
      <c r="D6" s="363"/>
      <c r="E6" s="363"/>
      <c r="F6" s="363"/>
      <c r="G6" s="363"/>
      <c r="H6" s="363"/>
      <c r="I6" s="363"/>
      <c r="J6" s="363"/>
      <c r="K6" s="363"/>
      <c r="L6" s="364"/>
    </row>
    <row r="7" spans="2:12" ht="15.75" x14ac:dyDescent="0.25">
      <c r="B7" s="354" t="s">
        <v>155</v>
      </c>
      <c r="C7" s="355"/>
      <c r="D7" s="355"/>
      <c r="E7" s="135"/>
      <c r="F7" s="136">
        <f>D4-E7</f>
        <v>0</v>
      </c>
      <c r="G7" s="355"/>
      <c r="H7" s="356"/>
      <c r="I7" s="356"/>
      <c r="J7" s="356"/>
      <c r="K7" s="356"/>
      <c r="L7" s="356"/>
    </row>
    <row r="8" spans="2:12" ht="15.75" x14ac:dyDescent="0.25">
      <c r="B8" s="354"/>
      <c r="C8" s="355"/>
      <c r="D8" s="355"/>
      <c r="E8" s="138">
        <f>E7*C5</f>
        <v>0</v>
      </c>
      <c r="F8" s="139">
        <f>D5-E8</f>
        <v>0</v>
      </c>
      <c r="G8" s="355"/>
      <c r="H8" s="356"/>
      <c r="I8" s="356"/>
      <c r="J8" s="356"/>
      <c r="K8" s="356"/>
      <c r="L8" s="356"/>
    </row>
    <row r="9" spans="2:12" ht="15.75" x14ac:dyDescent="0.25">
      <c r="B9" s="362"/>
      <c r="C9" s="363"/>
      <c r="D9" s="363"/>
      <c r="E9" s="363"/>
      <c r="F9" s="363"/>
      <c r="G9" s="363"/>
      <c r="H9" s="363"/>
      <c r="I9" s="363"/>
      <c r="J9" s="363"/>
      <c r="K9" s="363"/>
      <c r="L9" s="364"/>
    </row>
    <row r="10" spans="2:12" ht="15.75" x14ac:dyDescent="0.25">
      <c r="B10" s="354" t="s">
        <v>156</v>
      </c>
      <c r="C10" s="355"/>
      <c r="D10" s="355"/>
      <c r="E10" s="140"/>
      <c r="F10" s="136">
        <f>D4-E10</f>
        <v>0</v>
      </c>
      <c r="G10" s="355"/>
      <c r="H10" s="356"/>
      <c r="I10" s="356"/>
      <c r="J10" s="356"/>
      <c r="K10" s="356"/>
      <c r="L10" s="356"/>
    </row>
    <row r="11" spans="2:12" ht="15.75" x14ac:dyDescent="0.25">
      <c r="B11" s="354"/>
      <c r="C11" s="355"/>
      <c r="D11" s="355"/>
      <c r="E11" s="138">
        <f>C5*E10</f>
        <v>0</v>
      </c>
      <c r="F11" s="139">
        <f>D5-E11</f>
        <v>0</v>
      </c>
      <c r="G11" s="355"/>
      <c r="H11" s="356"/>
      <c r="I11" s="356"/>
      <c r="J11" s="356"/>
      <c r="K11" s="356"/>
      <c r="L11" s="356"/>
    </row>
    <row r="13" spans="2:12" ht="15.75" x14ac:dyDescent="0.25">
      <c r="B13" s="353" t="s">
        <v>198</v>
      </c>
      <c r="C13" s="353"/>
      <c r="D13" s="353"/>
      <c r="E13" s="353"/>
    </row>
    <row r="14" spans="2:12" x14ac:dyDescent="0.25">
      <c r="B14" s="275" t="s">
        <v>199</v>
      </c>
      <c r="C14" s="275"/>
      <c r="D14" s="275" t="s">
        <v>200</v>
      </c>
      <c r="E14" s="275"/>
    </row>
    <row r="15" spans="2:12" x14ac:dyDescent="0.25">
      <c r="B15" s="350"/>
      <c r="C15" s="351"/>
      <c r="D15" s="352"/>
      <c r="E15" s="352"/>
    </row>
    <row r="16" spans="2:12" x14ac:dyDescent="0.25">
      <c r="B16" s="350"/>
      <c r="C16" s="351"/>
      <c r="D16" s="352"/>
      <c r="E16" s="352"/>
    </row>
    <row r="17" spans="2:5" x14ac:dyDescent="0.25">
      <c r="B17" s="350"/>
      <c r="C17" s="351"/>
      <c r="D17" s="352"/>
      <c r="E17" s="352"/>
    </row>
    <row r="18" spans="2:5" x14ac:dyDescent="0.25">
      <c r="B18" s="350"/>
      <c r="C18" s="351"/>
      <c r="D18" s="352"/>
      <c r="E18" s="352"/>
    </row>
    <row r="19" spans="2:5" x14ac:dyDescent="0.25">
      <c r="B19" s="350"/>
      <c r="C19" s="351"/>
      <c r="D19" s="352"/>
      <c r="E19" s="352"/>
    </row>
    <row r="20" spans="2:5" x14ac:dyDescent="0.25">
      <c r="B20" s="350"/>
      <c r="C20" s="351"/>
      <c r="D20" s="352"/>
      <c r="E20" s="352"/>
    </row>
    <row r="21" spans="2:5" x14ac:dyDescent="0.25">
      <c r="B21" s="350"/>
      <c r="C21" s="351"/>
      <c r="D21" s="352"/>
      <c r="E21" s="352"/>
    </row>
    <row r="22" spans="2:5" x14ac:dyDescent="0.25">
      <c r="B22" s="350"/>
      <c r="C22" s="351"/>
      <c r="D22" s="352"/>
      <c r="E22" s="352"/>
    </row>
    <row r="23" spans="2:5" x14ac:dyDescent="0.25">
      <c r="B23" s="350"/>
      <c r="C23" s="351"/>
      <c r="D23" s="352"/>
      <c r="E23" s="352"/>
    </row>
    <row r="24" spans="2:5" x14ac:dyDescent="0.25">
      <c r="B24" s="350"/>
      <c r="C24" s="351"/>
      <c r="D24" s="352"/>
      <c r="E24" s="352"/>
    </row>
    <row r="25" spans="2:5" x14ac:dyDescent="0.25">
      <c r="B25" s="350"/>
      <c r="C25" s="351"/>
      <c r="D25" s="352"/>
      <c r="E25" s="352"/>
    </row>
    <row r="26" spans="2:5" x14ac:dyDescent="0.25">
      <c r="B26" s="350"/>
      <c r="C26" s="351"/>
      <c r="D26" s="352"/>
      <c r="E26" s="352"/>
    </row>
    <row r="27" spans="2:5" x14ac:dyDescent="0.25">
      <c r="B27" s="350"/>
      <c r="C27" s="351"/>
      <c r="D27" s="352"/>
      <c r="E27" s="352"/>
    </row>
    <row r="28" spans="2:5" x14ac:dyDescent="0.25">
      <c r="B28" s="350"/>
      <c r="C28" s="351"/>
      <c r="D28" s="352"/>
      <c r="E28" s="352"/>
    </row>
  </sheetData>
  <mergeCells count="46">
    <mergeCell ref="B10:B11"/>
    <mergeCell ref="C10:D11"/>
    <mergeCell ref="G10:G11"/>
    <mergeCell ref="H10:L11"/>
    <mergeCell ref="B2:F2"/>
    <mergeCell ref="G2:L2"/>
    <mergeCell ref="G3:G5"/>
    <mergeCell ref="H3:L5"/>
    <mergeCell ref="B4:B5"/>
    <mergeCell ref="B6:L6"/>
    <mergeCell ref="B7:B8"/>
    <mergeCell ref="C7:D8"/>
    <mergeCell ref="G7:G8"/>
    <mergeCell ref="H7:L8"/>
    <mergeCell ref="B9:L9"/>
    <mergeCell ref="B13:E13"/>
    <mergeCell ref="B14:C14"/>
    <mergeCell ref="D14:E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EFCE-276D-4AF6-9F6E-E17DC2D6A56F}">
  <dimension ref="B1:J12"/>
  <sheetViews>
    <sheetView showGridLines="0" zoomScaleNormal="100" workbookViewId="0">
      <selection activeCell="M12" sqref="M12"/>
    </sheetView>
  </sheetViews>
  <sheetFormatPr baseColWidth="10" defaultRowHeight="15" x14ac:dyDescent="0.25"/>
  <cols>
    <col min="1" max="1" width="2.28515625" customWidth="1"/>
    <col min="4" max="4" width="17.5703125" customWidth="1"/>
    <col min="6" max="6" width="13.140625" customWidth="1"/>
    <col min="7" max="7" width="17" customWidth="1"/>
    <col min="8" max="9" width="16.5703125" customWidth="1"/>
    <col min="10" max="10" width="19.28515625" customWidth="1"/>
  </cols>
  <sheetData>
    <row r="1" spans="2:10" ht="12.75" customHeight="1" x14ac:dyDescent="0.25"/>
    <row r="2" spans="2:10" ht="28.5" customHeight="1" x14ac:dyDescent="0.25">
      <c r="B2" s="368" t="s">
        <v>186</v>
      </c>
      <c r="C2" s="368"/>
      <c r="D2" s="368"/>
      <c r="E2" s="368"/>
      <c r="F2" s="368"/>
      <c r="G2" s="368"/>
      <c r="H2" s="368"/>
      <c r="I2" s="368"/>
      <c r="J2" s="368"/>
    </row>
    <row r="3" spans="2:10" ht="25.5" customHeight="1" x14ac:dyDescent="0.25">
      <c r="B3" s="369" t="s">
        <v>182</v>
      </c>
      <c r="C3" s="369"/>
      <c r="D3" s="369"/>
      <c r="E3" s="369" t="s">
        <v>183</v>
      </c>
      <c r="F3" s="369"/>
      <c r="G3" s="168" t="s">
        <v>184</v>
      </c>
      <c r="H3" s="168" t="s">
        <v>185</v>
      </c>
      <c r="I3" s="168" t="s">
        <v>133</v>
      </c>
      <c r="J3" s="168" t="s">
        <v>153</v>
      </c>
    </row>
    <row r="4" spans="2:10" x14ac:dyDescent="0.25">
      <c r="B4" s="352"/>
      <c r="C4" s="352"/>
      <c r="D4" s="352"/>
      <c r="E4" s="370"/>
      <c r="F4" s="371"/>
      <c r="G4" s="352"/>
      <c r="H4" s="352"/>
      <c r="I4" s="365"/>
      <c r="J4" s="352"/>
    </row>
    <row r="5" spans="2:10" x14ac:dyDescent="0.25">
      <c r="B5" s="352"/>
      <c r="C5" s="352"/>
      <c r="D5" s="352"/>
      <c r="E5" s="372"/>
      <c r="F5" s="373"/>
      <c r="G5" s="352"/>
      <c r="H5" s="352"/>
      <c r="I5" s="366"/>
      <c r="J5" s="352"/>
    </row>
    <row r="6" spans="2:10" x14ac:dyDescent="0.25">
      <c r="B6" s="352"/>
      <c r="C6" s="352"/>
      <c r="D6" s="352"/>
      <c r="E6" s="374"/>
      <c r="F6" s="375"/>
      <c r="G6" s="352"/>
      <c r="H6" s="352"/>
      <c r="I6" s="367"/>
      <c r="J6" s="352"/>
    </row>
    <row r="7" spans="2:10" x14ac:dyDescent="0.25">
      <c r="B7" s="352"/>
      <c r="C7" s="352"/>
      <c r="D7" s="352"/>
      <c r="E7" s="370"/>
      <c r="F7" s="371"/>
      <c r="G7" s="352"/>
      <c r="H7" s="352"/>
      <c r="I7" s="352"/>
      <c r="J7" s="352"/>
    </row>
    <row r="8" spans="2:10" x14ac:dyDescent="0.25">
      <c r="B8" s="352"/>
      <c r="C8" s="352"/>
      <c r="D8" s="352"/>
      <c r="E8" s="372"/>
      <c r="F8" s="373"/>
      <c r="G8" s="352"/>
      <c r="H8" s="352"/>
      <c r="I8" s="352"/>
      <c r="J8" s="352"/>
    </row>
    <row r="9" spans="2:10" x14ac:dyDescent="0.25">
      <c r="B9" s="352"/>
      <c r="C9" s="352"/>
      <c r="D9" s="352"/>
      <c r="E9" s="374"/>
      <c r="F9" s="375"/>
      <c r="G9" s="352"/>
      <c r="H9" s="352"/>
      <c r="I9" s="352"/>
      <c r="J9" s="352"/>
    </row>
    <row r="10" spans="2:10" x14ac:dyDescent="0.25">
      <c r="B10" s="352"/>
      <c r="C10" s="352"/>
      <c r="D10" s="352"/>
      <c r="E10" s="370"/>
      <c r="F10" s="371"/>
      <c r="G10" s="352"/>
      <c r="H10" s="352"/>
      <c r="I10" s="352"/>
      <c r="J10" s="352"/>
    </row>
    <row r="11" spans="2:10" x14ac:dyDescent="0.25">
      <c r="B11" s="352"/>
      <c r="C11" s="352"/>
      <c r="D11" s="352"/>
      <c r="E11" s="372"/>
      <c r="F11" s="373"/>
      <c r="G11" s="352"/>
      <c r="H11" s="352"/>
      <c r="I11" s="352"/>
      <c r="J11" s="352"/>
    </row>
    <row r="12" spans="2:10" x14ac:dyDescent="0.25">
      <c r="B12" s="352"/>
      <c r="C12" s="352"/>
      <c r="D12" s="352"/>
      <c r="E12" s="374"/>
      <c r="F12" s="375"/>
      <c r="G12" s="352"/>
      <c r="H12" s="352"/>
      <c r="I12" s="352"/>
      <c r="J12" s="352"/>
    </row>
  </sheetData>
  <mergeCells count="19">
    <mergeCell ref="G7:G9"/>
    <mergeCell ref="I7:I9"/>
    <mergeCell ref="I10:I12"/>
    <mergeCell ref="I4:I6"/>
    <mergeCell ref="G10:G12"/>
    <mergeCell ref="H10:H12"/>
    <mergeCell ref="J10:J12"/>
    <mergeCell ref="B2:J2"/>
    <mergeCell ref="B3:D3"/>
    <mergeCell ref="E3:F3"/>
    <mergeCell ref="E4:F6"/>
    <mergeCell ref="E7:F9"/>
    <mergeCell ref="H4:H6"/>
    <mergeCell ref="H7:H9"/>
    <mergeCell ref="J4:J6"/>
    <mergeCell ref="J7:J9"/>
    <mergeCell ref="E10:F12"/>
    <mergeCell ref="B4:D12"/>
    <mergeCell ref="G4:G6"/>
  </mergeCells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8AFF-FFBE-490A-8A84-AD9FB5023282}">
  <dimension ref="B1:F11"/>
  <sheetViews>
    <sheetView showGridLines="0" zoomScaleNormal="100" workbookViewId="0">
      <selection activeCell="D18" sqref="D18"/>
    </sheetView>
  </sheetViews>
  <sheetFormatPr baseColWidth="10" defaultRowHeight="15" x14ac:dyDescent="0.25"/>
  <cols>
    <col min="1" max="1" width="4.140625" customWidth="1"/>
    <col min="2" max="2" width="23.5703125" customWidth="1"/>
    <col min="3" max="3" width="60.140625" customWidth="1"/>
    <col min="6" max="6" width="23" customWidth="1"/>
  </cols>
  <sheetData>
    <row r="1" spans="2:6" ht="15.75" thickBot="1" x14ac:dyDescent="0.3"/>
    <row r="2" spans="2:6" ht="21" thickBot="1" x14ac:dyDescent="0.35">
      <c r="B2" s="382" t="s">
        <v>143</v>
      </c>
      <c r="C2" s="383"/>
      <c r="D2" s="383"/>
      <c r="E2" s="383"/>
      <c r="F2" s="384"/>
    </row>
    <row r="3" spans="2:6" ht="18" x14ac:dyDescent="0.25">
      <c r="B3" s="119" t="s">
        <v>144</v>
      </c>
      <c r="C3" s="122" t="s">
        <v>145</v>
      </c>
      <c r="D3" s="385" t="s">
        <v>146</v>
      </c>
      <c r="E3" s="386"/>
      <c r="F3" s="387"/>
    </row>
    <row r="4" spans="2:6" ht="15.75" x14ac:dyDescent="0.25">
      <c r="B4" s="120" t="s">
        <v>98</v>
      </c>
      <c r="C4" s="123"/>
      <c r="D4" s="376"/>
      <c r="E4" s="377"/>
      <c r="F4" s="378"/>
    </row>
    <row r="5" spans="2:6" ht="15.75" x14ac:dyDescent="0.25">
      <c r="B5" s="120" t="s">
        <v>99</v>
      </c>
      <c r="C5" s="123"/>
      <c r="D5" s="376"/>
      <c r="E5" s="377"/>
      <c r="F5" s="378"/>
    </row>
    <row r="6" spans="2:6" ht="15.75" x14ac:dyDescent="0.25">
      <c r="B6" s="120" t="s">
        <v>100</v>
      </c>
      <c r="C6" s="123"/>
      <c r="D6" s="376"/>
      <c r="E6" s="377"/>
      <c r="F6" s="378"/>
    </row>
    <row r="7" spans="2:6" ht="15.75" x14ac:dyDescent="0.25">
      <c r="B7" s="120" t="s">
        <v>101</v>
      </c>
      <c r="C7" s="123"/>
      <c r="D7" s="376"/>
      <c r="E7" s="377"/>
      <c r="F7" s="378"/>
    </row>
    <row r="8" spans="2:6" ht="15.75" x14ac:dyDescent="0.25">
      <c r="B8" s="120" t="s">
        <v>106</v>
      </c>
      <c r="C8" s="123"/>
      <c r="D8" s="376"/>
      <c r="E8" s="377"/>
      <c r="F8" s="378"/>
    </row>
    <row r="9" spans="2:6" ht="15.75" x14ac:dyDescent="0.25">
      <c r="B9" s="120" t="s">
        <v>136</v>
      </c>
      <c r="C9" s="123"/>
      <c r="D9" s="376"/>
      <c r="E9" s="377"/>
      <c r="F9" s="378"/>
    </row>
    <row r="10" spans="2:6" ht="15.75" x14ac:dyDescent="0.25">
      <c r="B10" s="120" t="s">
        <v>136</v>
      </c>
      <c r="C10" s="123"/>
      <c r="D10" s="376"/>
      <c r="E10" s="377"/>
      <c r="F10" s="378"/>
    </row>
    <row r="11" spans="2:6" ht="16.5" thickBot="1" x14ac:dyDescent="0.3">
      <c r="B11" s="121" t="s">
        <v>136</v>
      </c>
      <c r="C11" s="124"/>
      <c r="D11" s="379"/>
      <c r="E11" s="380"/>
      <c r="F11" s="381"/>
    </row>
  </sheetData>
  <mergeCells count="10">
    <mergeCell ref="D8:F8"/>
    <mergeCell ref="D9:F9"/>
    <mergeCell ref="D10:F10"/>
    <mergeCell ref="D11:F11"/>
    <mergeCell ref="B2:F2"/>
    <mergeCell ref="D3:F3"/>
    <mergeCell ref="D4:F4"/>
    <mergeCell ref="D5:F5"/>
    <mergeCell ref="D6:F6"/>
    <mergeCell ref="D7:F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8F1B-0F70-4E33-B6BF-E85D7DDAE089}">
  <sheetPr>
    <pageSetUpPr fitToPage="1"/>
  </sheetPr>
  <dimension ref="B1:BK35"/>
  <sheetViews>
    <sheetView showGridLines="0" showRuler="0" zoomScale="60" zoomScaleNormal="60" zoomScalePageLayoutView="70" workbookViewId="0">
      <selection activeCell="C9" sqref="C9:C11"/>
    </sheetView>
  </sheetViews>
  <sheetFormatPr baseColWidth="10" defaultColWidth="9.140625" defaultRowHeight="30" customHeight="1" x14ac:dyDescent="0.25"/>
  <cols>
    <col min="1" max="1" width="4.5703125" customWidth="1"/>
    <col min="2" max="2" width="34.5703125" customWidth="1"/>
    <col min="3" max="3" width="46.42578125" customWidth="1"/>
    <col min="4" max="4" width="15.7109375" customWidth="1"/>
    <col min="5" max="5" width="11.85546875" style="171" customWidth="1"/>
    <col min="6" max="6" width="13.5703125" customWidth="1"/>
    <col min="7" max="7" width="3" hidden="1" customWidth="1"/>
    <col min="8" max="63" width="2.5703125" customWidth="1"/>
  </cols>
  <sheetData>
    <row r="1" spans="2:63" ht="18" customHeight="1" thickBot="1" x14ac:dyDescent="0.3"/>
    <row r="2" spans="2:63" ht="30" customHeight="1" thickBot="1" x14ac:dyDescent="0.3">
      <c r="B2" s="390" t="s">
        <v>244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  <c r="AC2" s="391"/>
      <c r="AD2" s="391"/>
      <c r="AE2" s="391"/>
      <c r="AF2" s="391"/>
      <c r="AG2" s="391"/>
      <c r="AH2" s="391"/>
      <c r="AI2" s="391"/>
      <c r="AJ2" s="391"/>
      <c r="AK2" s="391"/>
      <c r="AL2" s="391"/>
      <c r="AM2" s="391"/>
      <c r="AN2" s="391"/>
      <c r="AO2" s="391"/>
      <c r="AP2" s="391"/>
      <c r="AQ2" s="391"/>
      <c r="AR2" s="391"/>
      <c r="AS2" s="391"/>
      <c r="AT2" s="391"/>
      <c r="AU2" s="391"/>
      <c r="AV2" s="391"/>
      <c r="AW2" s="391"/>
      <c r="AX2" s="391"/>
      <c r="AY2" s="391"/>
      <c r="AZ2" s="391"/>
      <c r="BA2" s="391"/>
      <c r="BB2" s="391"/>
      <c r="BC2" s="391"/>
      <c r="BD2" s="391"/>
      <c r="BE2" s="391"/>
      <c r="BF2" s="391"/>
      <c r="BG2" s="391"/>
      <c r="BH2" s="391"/>
      <c r="BI2" s="391"/>
      <c r="BJ2" s="391"/>
      <c r="BK2" s="392"/>
    </row>
    <row r="3" spans="2:63" ht="30" customHeight="1" x14ac:dyDescent="0.4">
      <c r="B3" s="210" t="s">
        <v>221</v>
      </c>
      <c r="C3" s="224"/>
      <c r="D3" s="199"/>
      <c r="E3" s="200"/>
      <c r="F3" s="201"/>
      <c r="G3" s="199"/>
      <c r="H3" s="202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/>
      <c r="AU3" s="203"/>
      <c r="AV3" s="203"/>
      <c r="AW3" s="203"/>
      <c r="AX3" s="203"/>
      <c r="AY3" s="203"/>
      <c r="AZ3" s="203"/>
      <c r="BA3" s="203"/>
      <c r="BB3" s="203"/>
      <c r="BC3" s="203"/>
      <c r="BD3" s="203"/>
      <c r="BE3" s="203"/>
      <c r="BF3" s="203"/>
      <c r="BG3" s="203"/>
      <c r="BH3" s="203"/>
      <c r="BI3" s="203"/>
      <c r="BJ3" s="203"/>
      <c r="BK3" s="204"/>
    </row>
    <row r="4" spans="2:63" ht="30" customHeight="1" x14ac:dyDescent="0.25">
      <c r="B4" s="212" t="s">
        <v>222</v>
      </c>
      <c r="C4" s="225"/>
      <c r="D4" s="394" t="s">
        <v>223</v>
      </c>
      <c r="E4" s="395">
        <f ca="1">TODAY()</f>
        <v>44567</v>
      </c>
      <c r="F4" s="396"/>
      <c r="G4" s="191"/>
      <c r="H4" s="205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4"/>
    </row>
    <row r="5" spans="2:63" ht="41.25" customHeight="1" x14ac:dyDescent="0.25">
      <c r="B5" s="213" t="s">
        <v>224</v>
      </c>
      <c r="C5" s="225"/>
      <c r="D5" s="394"/>
      <c r="E5" s="397"/>
      <c r="F5" s="398"/>
      <c r="G5" s="191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4"/>
    </row>
    <row r="6" spans="2:63" ht="41.25" customHeight="1" x14ac:dyDescent="0.25">
      <c r="B6" s="206"/>
      <c r="C6" s="203"/>
      <c r="D6" s="211" t="s">
        <v>225</v>
      </c>
      <c r="E6" s="393">
        <v>1</v>
      </c>
      <c r="F6" s="393"/>
      <c r="G6" s="191"/>
      <c r="H6" s="399">
        <f ca="1">H7</f>
        <v>44564</v>
      </c>
      <c r="I6" s="400"/>
      <c r="J6" s="400"/>
      <c r="K6" s="400"/>
      <c r="L6" s="400"/>
      <c r="M6" s="400"/>
      <c r="N6" s="401"/>
      <c r="O6" s="399">
        <f ca="1">O7</f>
        <v>44571</v>
      </c>
      <c r="P6" s="400"/>
      <c r="Q6" s="400"/>
      <c r="R6" s="400"/>
      <c r="S6" s="400"/>
      <c r="T6" s="400"/>
      <c r="U6" s="401"/>
      <c r="V6" s="399">
        <f ca="1">V7</f>
        <v>44578</v>
      </c>
      <c r="W6" s="400"/>
      <c r="X6" s="400"/>
      <c r="Y6" s="400"/>
      <c r="Z6" s="400"/>
      <c r="AA6" s="400"/>
      <c r="AB6" s="401"/>
      <c r="AC6" s="399">
        <f ca="1">AC7</f>
        <v>44585</v>
      </c>
      <c r="AD6" s="400"/>
      <c r="AE6" s="400"/>
      <c r="AF6" s="400"/>
      <c r="AG6" s="400"/>
      <c r="AH6" s="400"/>
      <c r="AI6" s="401"/>
      <c r="AJ6" s="399">
        <f ca="1">AJ7</f>
        <v>44592</v>
      </c>
      <c r="AK6" s="400"/>
      <c r="AL6" s="400"/>
      <c r="AM6" s="400"/>
      <c r="AN6" s="400"/>
      <c r="AO6" s="400"/>
      <c r="AP6" s="401"/>
      <c r="AQ6" s="399">
        <f ca="1">AQ7</f>
        <v>44599</v>
      </c>
      <c r="AR6" s="400"/>
      <c r="AS6" s="400"/>
      <c r="AT6" s="400"/>
      <c r="AU6" s="400"/>
      <c r="AV6" s="400"/>
      <c r="AW6" s="401"/>
      <c r="AX6" s="399">
        <f ca="1">AX7</f>
        <v>44606</v>
      </c>
      <c r="AY6" s="400"/>
      <c r="AZ6" s="400"/>
      <c r="BA6" s="400"/>
      <c r="BB6" s="400"/>
      <c r="BC6" s="400"/>
      <c r="BD6" s="401"/>
      <c r="BE6" s="399">
        <f ca="1">BE7</f>
        <v>44613</v>
      </c>
      <c r="BF6" s="400"/>
      <c r="BG6" s="400"/>
      <c r="BH6" s="400"/>
      <c r="BI6" s="400"/>
      <c r="BJ6" s="400"/>
      <c r="BK6" s="402"/>
    </row>
    <row r="7" spans="2:63" ht="15" customHeight="1" thickBot="1" x14ac:dyDescent="0.3">
      <c r="B7" s="388"/>
      <c r="C7" s="389"/>
      <c r="D7" s="389"/>
      <c r="E7" s="389"/>
      <c r="F7" s="389"/>
      <c r="G7" s="191"/>
      <c r="H7" s="184">
        <f ca="1">InicioDelProyecto-WEEKDAY(InicioDelProyecto,1)+2+7*(SemanaParaMostrar-1)</f>
        <v>44564</v>
      </c>
      <c r="I7" s="192">
        <f ca="1">H7+1</f>
        <v>44565</v>
      </c>
      <c r="J7" s="192">
        <f t="shared" ref="J7:AW7" ca="1" si="0">I7+1</f>
        <v>44566</v>
      </c>
      <c r="K7" s="192">
        <f t="shared" ca="1" si="0"/>
        <v>44567</v>
      </c>
      <c r="L7" s="192">
        <f t="shared" ca="1" si="0"/>
        <v>44568</v>
      </c>
      <c r="M7" s="192">
        <f t="shared" ca="1" si="0"/>
        <v>44569</v>
      </c>
      <c r="N7" s="185">
        <f t="shared" ca="1" si="0"/>
        <v>44570</v>
      </c>
      <c r="O7" s="184">
        <f ca="1">N7+1</f>
        <v>44571</v>
      </c>
      <c r="P7" s="192">
        <f ca="1">O7+1</f>
        <v>44572</v>
      </c>
      <c r="Q7" s="192">
        <f t="shared" ca="1" si="0"/>
        <v>44573</v>
      </c>
      <c r="R7" s="192">
        <f t="shared" ca="1" si="0"/>
        <v>44574</v>
      </c>
      <c r="S7" s="192">
        <f t="shared" ca="1" si="0"/>
        <v>44575</v>
      </c>
      <c r="T7" s="192">
        <f t="shared" ca="1" si="0"/>
        <v>44576</v>
      </c>
      <c r="U7" s="185">
        <f t="shared" ca="1" si="0"/>
        <v>44577</v>
      </c>
      <c r="V7" s="184">
        <f ca="1">U7+1</f>
        <v>44578</v>
      </c>
      <c r="W7" s="192">
        <f ca="1">V7+1</f>
        <v>44579</v>
      </c>
      <c r="X7" s="192">
        <f t="shared" ca="1" si="0"/>
        <v>44580</v>
      </c>
      <c r="Y7" s="192">
        <f t="shared" ca="1" si="0"/>
        <v>44581</v>
      </c>
      <c r="Z7" s="192">
        <f t="shared" ca="1" si="0"/>
        <v>44582</v>
      </c>
      <c r="AA7" s="192">
        <f t="shared" ca="1" si="0"/>
        <v>44583</v>
      </c>
      <c r="AB7" s="185">
        <f t="shared" ca="1" si="0"/>
        <v>44584</v>
      </c>
      <c r="AC7" s="184">
        <f ca="1">AB7+1</f>
        <v>44585</v>
      </c>
      <c r="AD7" s="192">
        <f ca="1">AC7+1</f>
        <v>44586</v>
      </c>
      <c r="AE7" s="192">
        <f t="shared" ca="1" si="0"/>
        <v>44587</v>
      </c>
      <c r="AF7" s="192">
        <f t="shared" ca="1" si="0"/>
        <v>44588</v>
      </c>
      <c r="AG7" s="192">
        <f t="shared" ca="1" si="0"/>
        <v>44589</v>
      </c>
      <c r="AH7" s="192">
        <f t="shared" ca="1" si="0"/>
        <v>44590</v>
      </c>
      <c r="AI7" s="185">
        <f t="shared" ca="1" si="0"/>
        <v>44591</v>
      </c>
      <c r="AJ7" s="184">
        <f ca="1">AI7+1</f>
        <v>44592</v>
      </c>
      <c r="AK7" s="192">
        <f ca="1">AJ7+1</f>
        <v>44593</v>
      </c>
      <c r="AL7" s="192">
        <f t="shared" ca="1" si="0"/>
        <v>44594</v>
      </c>
      <c r="AM7" s="192">
        <f t="shared" ca="1" si="0"/>
        <v>44595</v>
      </c>
      <c r="AN7" s="192">
        <f t="shared" ca="1" si="0"/>
        <v>44596</v>
      </c>
      <c r="AO7" s="192">
        <f t="shared" ca="1" si="0"/>
        <v>44597</v>
      </c>
      <c r="AP7" s="185">
        <f t="shared" ca="1" si="0"/>
        <v>44598</v>
      </c>
      <c r="AQ7" s="184">
        <f ca="1">AP7+1</f>
        <v>44599</v>
      </c>
      <c r="AR7" s="192">
        <f ca="1">AQ7+1</f>
        <v>44600</v>
      </c>
      <c r="AS7" s="192">
        <f t="shared" ca="1" si="0"/>
        <v>44601</v>
      </c>
      <c r="AT7" s="192">
        <f t="shared" ca="1" si="0"/>
        <v>44602</v>
      </c>
      <c r="AU7" s="192">
        <f t="shared" ca="1" si="0"/>
        <v>44603</v>
      </c>
      <c r="AV7" s="192">
        <f t="shared" ca="1" si="0"/>
        <v>44604</v>
      </c>
      <c r="AW7" s="185">
        <f t="shared" ca="1" si="0"/>
        <v>44605</v>
      </c>
      <c r="AX7" s="184">
        <f ca="1">AW7+1</f>
        <v>44606</v>
      </c>
      <c r="AY7" s="192">
        <f ca="1">AX7+1</f>
        <v>44607</v>
      </c>
      <c r="AZ7" s="192">
        <f t="shared" ref="AZ7:BD7" ca="1" si="1">AY7+1</f>
        <v>44608</v>
      </c>
      <c r="BA7" s="192">
        <f t="shared" ca="1" si="1"/>
        <v>44609</v>
      </c>
      <c r="BB7" s="192">
        <f t="shared" ca="1" si="1"/>
        <v>44610</v>
      </c>
      <c r="BC7" s="192">
        <f t="shared" ca="1" si="1"/>
        <v>44611</v>
      </c>
      <c r="BD7" s="185">
        <f t="shared" ca="1" si="1"/>
        <v>44612</v>
      </c>
      <c r="BE7" s="184">
        <f ca="1">BD7+1</f>
        <v>44613</v>
      </c>
      <c r="BF7" s="192">
        <f ca="1">BE7+1</f>
        <v>44614</v>
      </c>
      <c r="BG7" s="192">
        <f t="shared" ref="BG7:BK7" ca="1" si="2">BF7+1</f>
        <v>44615</v>
      </c>
      <c r="BH7" s="192">
        <f t="shared" ca="1" si="2"/>
        <v>44616</v>
      </c>
      <c r="BI7" s="192">
        <f t="shared" ca="1" si="2"/>
        <v>44617</v>
      </c>
      <c r="BJ7" s="192">
        <f t="shared" ca="1" si="2"/>
        <v>44618</v>
      </c>
      <c r="BK7" s="193">
        <f t="shared" ca="1" si="2"/>
        <v>44619</v>
      </c>
    </row>
    <row r="8" spans="2:63" ht="33" customHeight="1" thickBot="1" x14ac:dyDescent="0.3">
      <c r="B8" s="230" t="s">
        <v>226</v>
      </c>
      <c r="C8" s="231" t="s">
        <v>227</v>
      </c>
      <c r="D8" s="232" t="s">
        <v>228</v>
      </c>
      <c r="E8" s="232" t="s">
        <v>229</v>
      </c>
      <c r="F8" s="233" t="s">
        <v>230</v>
      </c>
      <c r="G8" s="186" t="s">
        <v>231</v>
      </c>
      <c r="H8" s="195" t="str">
        <f t="shared" ref="H8:BK8" ca="1" si="3">LEFT(TEXT(H7,"ddd"),1)</f>
        <v>l</v>
      </c>
      <c r="I8" s="195" t="str">
        <f t="shared" ca="1" si="3"/>
        <v>m</v>
      </c>
      <c r="J8" s="195" t="str">
        <f t="shared" ca="1" si="3"/>
        <v>m</v>
      </c>
      <c r="K8" s="195" t="str">
        <f t="shared" ca="1" si="3"/>
        <v>j</v>
      </c>
      <c r="L8" s="195" t="str">
        <f t="shared" ca="1" si="3"/>
        <v>v</v>
      </c>
      <c r="M8" s="195" t="str">
        <f t="shared" ca="1" si="3"/>
        <v>s</v>
      </c>
      <c r="N8" s="195" t="str">
        <f t="shared" ca="1" si="3"/>
        <v>d</v>
      </c>
      <c r="O8" s="195" t="str">
        <f t="shared" ca="1" si="3"/>
        <v>l</v>
      </c>
      <c r="P8" s="195" t="str">
        <f t="shared" ca="1" si="3"/>
        <v>m</v>
      </c>
      <c r="Q8" s="195" t="str">
        <f t="shared" ca="1" si="3"/>
        <v>m</v>
      </c>
      <c r="R8" s="195" t="str">
        <f t="shared" ca="1" si="3"/>
        <v>j</v>
      </c>
      <c r="S8" s="195" t="str">
        <f t="shared" ca="1" si="3"/>
        <v>v</v>
      </c>
      <c r="T8" s="195" t="str">
        <f t="shared" ca="1" si="3"/>
        <v>s</v>
      </c>
      <c r="U8" s="195" t="str">
        <f t="shared" ca="1" si="3"/>
        <v>d</v>
      </c>
      <c r="V8" s="195" t="str">
        <f t="shared" ca="1" si="3"/>
        <v>l</v>
      </c>
      <c r="W8" s="195" t="str">
        <f t="shared" ca="1" si="3"/>
        <v>m</v>
      </c>
      <c r="X8" s="195" t="str">
        <f t="shared" ca="1" si="3"/>
        <v>m</v>
      </c>
      <c r="Y8" s="195" t="str">
        <f t="shared" ca="1" si="3"/>
        <v>j</v>
      </c>
      <c r="Z8" s="195" t="str">
        <f t="shared" ca="1" si="3"/>
        <v>v</v>
      </c>
      <c r="AA8" s="195" t="str">
        <f t="shared" ca="1" si="3"/>
        <v>s</v>
      </c>
      <c r="AB8" s="195" t="str">
        <f t="shared" ca="1" si="3"/>
        <v>d</v>
      </c>
      <c r="AC8" s="195" t="str">
        <f t="shared" ca="1" si="3"/>
        <v>l</v>
      </c>
      <c r="AD8" s="195" t="str">
        <f t="shared" ca="1" si="3"/>
        <v>m</v>
      </c>
      <c r="AE8" s="195" t="str">
        <f t="shared" ca="1" si="3"/>
        <v>m</v>
      </c>
      <c r="AF8" s="195" t="str">
        <f t="shared" ca="1" si="3"/>
        <v>j</v>
      </c>
      <c r="AG8" s="195" t="str">
        <f t="shared" ca="1" si="3"/>
        <v>v</v>
      </c>
      <c r="AH8" s="195" t="str">
        <f t="shared" ca="1" si="3"/>
        <v>s</v>
      </c>
      <c r="AI8" s="195" t="str">
        <f t="shared" ca="1" si="3"/>
        <v>d</v>
      </c>
      <c r="AJ8" s="195" t="str">
        <f t="shared" ca="1" si="3"/>
        <v>l</v>
      </c>
      <c r="AK8" s="195" t="str">
        <f t="shared" ca="1" si="3"/>
        <v>m</v>
      </c>
      <c r="AL8" s="195" t="str">
        <f t="shared" ca="1" si="3"/>
        <v>m</v>
      </c>
      <c r="AM8" s="195" t="str">
        <f t="shared" ca="1" si="3"/>
        <v>j</v>
      </c>
      <c r="AN8" s="195" t="str">
        <f t="shared" ca="1" si="3"/>
        <v>v</v>
      </c>
      <c r="AO8" s="195" t="str">
        <f t="shared" ca="1" si="3"/>
        <v>s</v>
      </c>
      <c r="AP8" s="195" t="str">
        <f t="shared" ca="1" si="3"/>
        <v>d</v>
      </c>
      <c r="AQ8" s="195" t="str">
        <f t="shared" ca="1" si="3"/>
        <v>l</v>
      </c>
      <c r="AR8" s="195" t="str">
        <f t="shared" ca="1" si="3"/>
        <v>m</v>
      </c>
      <c r="AS8" s="195" t="str">
        <f t="shared" ca="1" si="3"/>
        <v>m</v>
      </c>
      <c r="AT8" s="195" t="str">
        <f t="shared" ca="1" si="3"/>
        <v>j</v>
      </c>
      <c r="AU8" s="195" t="str">
        <f t="shared" ca="1" si="3"/>
        <v>v</v>
      </c>
      <c r="AV8" s="195" t="str">
        <f t="shared" ca="1" si="3"/>
        <v>s</v>
      </c>
      <c r="AW8" s="195" t="str">
        <f t="shared" ca="1" si="3"/>
        <v>d</v>
      </c>
      <c r="AX8" s="195" t="str">
        <f t="shared" ca="1" si="3"/>
        <v>l</v>
      </c>
      <c r="AY8" s="195" t="str">
        <f t="shared" ca="1" si="3"/>
        <v>m</v>
      </c>
      <c r="AZ8" s="195" t="str">
        <f t="shared" ca="1" si="3"/>
        <v>m</v>
      </c>
      <c r="BA8" s="195" t="str">
        <f t="shared" ca="1" si="3"/>
        <v>j</v>
      </c>
      <c r="BB8" s="195" t="str">
        <f t="shared" ca="1" si="3"/>
        <v>v</v>
      </c>
      <c r="BC8" s="195" t="str">
        <f t="shared" ca="1" si="3"/>
        <v>s</v>
      </c>
      <c r="BD8" s="195" t="str">
        <f t="shared" ca="1" si="3"/>
        <v>d</v>
      </c>
      <c r="BE8" s="195" t="str">
        <f t="shared" ca="1" si="3"/>
        <v>l</v>
      </c>
      <c r="BF8" s="195" t="str">
        <f t="shared" ca="1" si="3"/>
        <v>m</v>
      </c>
      <c r="BG8" s="195" t="str">
        <f t="shared" ca="1" si="3"/>
        <v>m</v>
      </c>
      <c r="BH8" s="195" t="str">
        <f t="shared" ca="1" si="3"/>
        <v>j</v>
      </c>
      <c r="BI8" s="195" t="str">
        <f t="shared" ca="1" si="3"/>
        <v>v</v>
      </c>
      <c r="BJ8" s="195" t="str">
        <f t="shared" ca="1" si="3"/>
        <v>s</v>
      </c>
      <c r="BK8" s="196" t="str">
        <f t="shared" ca="1" si="3"/>
        <v>d</v>
      </c>
    </row>
    <row r="9" spans="2:63" s="188" customFormat="1" ht="30" customHeight="1" thickBot="1" x14ac:dyDescent="0.3">
      <c r="B9" s="214" t="s">
        <v>232</v>
      </c>
      <c r="C9" s="223"/>
      <c r="D9" s="221">
        <f>SUM(D10:D13)/COUNT(D10:D13)</f>
        <v>0.98249999999999993</v>
      </c>
      <c r="E9" s="218">
        <v>44420</v>
      </c>
      <c r="F9" s="234">
        <v>44438</v>
      </c>
      <c r="G9" s="187">
        <f t="shared" ref="G9:G25" si="4">IF(OR(ISBLANK(task_start),ISBLANK(task_end)),"",task_end-task_start+1)</f>
        <v>19</v>
      </c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  <c r="AZ9" s="197"/>
      <c r="BA9" s="197"/>
      <c r="BB9" s="197"/>
      <c r="BC9" s="197"/>
      <c r="BD9" s="197"/>
      <c r="BE9" s="197"/>
      <c r="BF9" s="197"/>
      <c r="BG9" s="197"/>
      <c r="BH9" s="197"/>
      <c r="BI9" s="197"/>
      <c r="BJ9" s="197"/>
      <c r="BK9" s="197"/>
    </row>
    <row r="10" spans="2:63" s="188" customFormat="1" ht="30" customHeight="1" thickBot="1" x14ac:dyDescent="0.3">
      <c r="B10" s="215" t="s">
        <v>233</v>
      </c>
      <c r="C10" s="223"/>
      <c r="D10" s="221">
        <v>1</v>
      </c>
      <c r="E10" s="219">
        <v>44421</v>
      </c>
      <c r="F10" s="235">
        <v>44423</v>
      </c>
      <c r="G10" s="187">
        <f t="shared" si="4"/>
        <v>3</v>
      </c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7"/>
      <c r="BA10" s="197"/>
      <c r="BB10" s="197"/>
      <c r="BC10" s="197"/>
      <c r="BD10" s="197"/>
      <c r="BE10" s="197"/>
      <c r="BF10" s="197"/>
      <c r="BG10" s="197"/>
      <c r="BH10" s="197"/>
      <c r="BI10" s="197"/>
      <c r="BJ10" s="197"/>
      <c r="BK10" s="197"/>
    </row>
    <row r="11" spans="2:63" s="188" customFormat="1" ht="30" customHeight="1" thickBot="1" x14ac:dyDescent="0.3">
      <c r="B11" s="215" t="s">
        <v>234</v>
      </c>
      <c r="C11" s="223"/>
      <c r="D11" s="221">
        <v>1</v>
      </c>
      <c r="E11" s="219">
        <v>44423</v>
      </c>
      <c r="F11" s="235">
        <v>44424</v>
      </c>
      <c r="G11" s="187">
        <f t="shared" si="4"/>
        <v>2</v>
      </c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8"/>
      <c r="U11" s="198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  <c r="AZ11" s="197"/>
      <c r="BA11" s="197"/>
      <c r="BB11" s="197"/>
      <c r="BC11" s="197"/>
      <c r="BD11" s="197"/>
      <c r="BE11" s="197"/>
      <c r="BF11" s="197"/>
      <c r="BG11" s="197"/>
      <c r="BH11" s="197"/>
      <c r="BI11" s="197"/>
      <c r="BJ11" s="197"/>
      <c r="BK11" s="197"/>
    </row>
    <row r="12" spans="2:63" s="188" customFormat="1" ht="30" customHeight="1" thickBot="1" x14ac:dyDescent="0.3">
      <c r="B12" s="215" t="s">
        <v>235</v>
      </c>
      <c r="C12" s="207"/>
      <c r="D12" s="221">
        <v>0.98</v>
      </c>
      <c r="E12" s="219">
        <v>44424</v>
      </c>
      <c r="F12" s="235">
        <v>44429</v>
      </c>
      <c r="G12" s="187">
        <f t="shared" si="4"/>
        <v>6</v>
      </c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  <c r="AZ12" s="197"/>
      <c r="BA12" s="197"/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</row>
    <row r="13" spans="2:63" s="188" customFormat="1" ht="30" customHeight="1" thickBot="1" x14ac:dyDescent="0.3">
      <c r="B13" s="215" t="s">
        <v>236</v>
      </c>
      <c r="C13" s="207"/>
      <c r="D13" s="221">
        <v>0.95</v>
      </c>
      <c r="E13" s="219">
        <v>44428</v>
      </c>
      <c r="F13" s="235">
        <v>44434</v>
      </c>
      <c r="G13" s="187">
        <f t="shared" si="4"/>
        <v>7</v>
      </c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8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  <c r="AZ13" s="197"/>
      <c r="BA13" s="197"/>
      <c r="BB13" s="197"/>
      <c r="BC13" s="197"/>
      <c r="BD13" s="197"/>
      <c r="BE13" s="197"/>
      <c r="BF13" s="197"/>
      <c r="BG13" s="197"/>
      <c r="BH13" s="197"/>
      <c r="BI13" s="197"/>
      <c r="BJ13" s="197"/>
      <c r="BK13" s="197"/>
    </row>
    <row r="14" spans="2:63" s="188" customFormat="1" ht="30" customHeight="1" thickBot="1" x14ac:dyDescent="0.3">
      <c r="B14" s="214" t="s">
        <v>237</v>
      </c>
      <c r="C14" s="207"/>
      <c r="D14" s="221">
        <f>SUM(D15:D17)/COUNT(D15:D17)</f>
        <v>3.3333333333333333E-2</v>
      </c>
      <c r="E14" s="218">
        <v>44440</v>
      </c>
      <c r="F14" s="234">
        <v>44460</v>
      </c>
      <c r="G14" s="187">
        <f t="shared" si="4"/>
        <v>21</v>
      </c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</row>
    <row r="15" spans="2:63" s="188" customFormat="1" ht="30" customHeight="1" thickBot="1" x14ac:dyDescent="0.3">
      <c r="B15" s="215" t="s">
        <v>233</v>
      </c>
      <c r="C15" s="207"/>
      <c r="D15" s="221">
        <v>0.1</v>
      </c>
      <c r="E15" s="219">
        <v>44440</v>
      </c>
      <c r="F15" s="235">
        <v>44447</v>
      </c>
      <c r="G15" s="187">
        <f t="shared" si="4"/>
        <v>8</v>
      </c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</row>
    <row r="16" spans="2:63" s="188" customFormat="1" ht="30" customHeight="1" thickBot="1" x14ac:dyDescent="0.3">
      <c r="B16" s="215" t="s">
        <v>234</v>
      </c>
      <c r="C16" s="207"/>
      <c r="D16" s="221">
        <v>0</v>
      </c>
      <c r="E16" s="219">
        <v>44447</v>
      </c>
      <c r="F16" s="235">
        <v>44449</v>
      </c>
      <c r="G16" s="187">
        <f t="shared" si="4"/>
        <v>3</v>
      </c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8"/>
      <c r="U16" s="198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</row>
    <row r="17" spans="2:63" s="188" customFormat="1" ht="30" customHeight="1" thickBot="1" x14ac:dyDescent="0.3">
      <c r="B17" s="215" t="s">
        <v>235</v>
      </c>
      <c r="C17" s="207"/>
      <c r="D17" s="221">
        <v>0</v>
      </c>
      <c r="E17" s="219">
        <v>44450</v>
      </c>
      <c r="F17" s="235">
        <v>44454</v>
      </c>
      <c r="G17" s="187">
        <f t="shared" si="4"/>
        <v>5</v>
      </c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7"/>
      <c r="BK17" s="197"/>
    </row>
    <row r="18" spans="2:63" s="188" customFormat="1" ht="30" customHeight="1" thickBot="1" x14ac:dyDescent="0.3">
      <c r="B18" s="214" t="s">
        <v>238</v>
      </c>
      <c r="C18" s="207"/>
      <c r="D18" s="221">
        <f>SUM(D19:D21)/COUNT(D19:D21)</f>
        <v>0</v>
      </c>
      <c r="E18" s="218">
        <v>44462</v>
      </c>
      <c r="F18" s="234">
        <v>44484</v>
      </c>
      <c r="G18" s="187">
        <f t="shared" si="4"/>
        <v>23</v>
      </c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7"/>
      <c r="BF18" s="197"/>
      <c r="BG18" s="197"/>
      <c r="BH18" s="197"/>
      <c r="BI18" s="197"/>
      <c r="BJ18" s="197"/>
      <c r="BK18" s="197"/>
    </row>
    <row r="19" spans="2:63" s="188" customFormat="1" ht="30" customHeight="1" thickBot="1" x14ac:dyDescent="0.3">
      <c r="B19" s="215" t="s">
        <v>233</v>
      </c>
      <c r="C19" s="207"/>
      <c r="D19" s="221">
        <v>0</v>
      </c>
      <c r="E19" s="219">
        <v>44462</v>
      </c>
      <c r="F19" s="235">
        <v>44468</v>
      </c>
      <c r="G19" s="187">
        <f t="shared" si="4"/>
        <v>7</v>
      </c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7"/>
      <c r="BK19" s="197"/>
    </row>
    <row r="20" spans="2:63" s="188" customFormat="1" ht="30" customHeight="1" thickBot="1" x14ac:dyDescent="0.3">
      <c r="B20" s="215" t="s">
        <v>234</v>
      </c>
      <c r="C20" s="207"/>
      <c r="D20" s="221">
        <v>0</v>
      </c>
      <c r="E20" s="219">
        <v>44468</v>
      </c>
      <c r="F20" s="235">
        <v>44477</v>
      </c>
      <c r="G20" s="187">
        <f t="shared" si="4"/>
        <v>10</v>
      </c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7"/>
      <c r="BK20" s="197"/>
    </row>
    <row r="21" spans="2:63" s="188" customFormat="1" ht="30" customHeight="1" thickBot="1" x14ac:dyDescent="0.3">
      <c r="B21" s="215" t="s">
        <v>235</v>
      </c>
      <c r="C21" s="207"/>
      <c r="D21" s="221">
        <v>0</v>
      </c>
      <c r="E21" s="219">
        <v>44474</v>
      </c>
      <c r="F21" s="235">
        <v>44476</v>
      </c>
      <c r="G21" s="187">
        <f t="shared" si="4"/>
        <v>3</v>
      </c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7"/>
      <c r="BH21" s="197"/>
      <c r="BI21" s="197"/>
      <c r="BJ21" s="197"/>
      <c r="BK21" s="197"/>
    </row>
    <row r="22" spans="2:63" s="188" customFormat="1" ht="30" customHeight="1" thickBot="1" x14ac:dyDescent="0.3">
      <c r="B22" s="214" t="s">
        <v>239</v>
      </c>
      <c r="C22" s="207"/>
      <c r="D22" s="221">
        <f>SUM(D23:D25)/COUNT(D23:D25)</f>
        <v>0</v>
      </c>
      <c r="E22" s="218">
        <v>44501</v>
      </c>
      <c r="F22" s="234">
        <v>44536</v>
      </c>
      <c r="G22" s="187">
        <f t="shared" si="4"/>
        <v>36</v>
      </c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  <c r="BJ22" s="197"/>
      <c r="BK22" s="197"/>
    </row>
    <row r="23" spans="2:63" s="188" customFormat="1" ht="30" customHeight="1" thickBot="1" x14ac:dyDescent="0.3">
      <c r="B23" s="215" t="s">
        <v>233</v>
      </c>
      <c r="C23" s="207"/>
      <c r="D23" s="221">
        <v>0</v>
      </c>
      <c r="E23" s="219">
        <v>44501</v>
      </c>
      <c r="F23" s="235">
        <v>44505</v>
      </c>
      <c r="G23" s="187">
        <f t="shared" si="4"/>
        <v>5</v>
      </c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</row>
    <row r="24" spans="2:63" s="188" customFormat="1" ht="30" customHeight="1" thickBot="1" x14ac:dyDescent="0.3">
      <c r="B24" s="215" t="s">
        <v>234</v>
      </c>
      <c r="C24" s="207"/>
      <c r="D24" s="221">
        <v>0</v>
      </c>
      <c r="E24" s="219">
        <v>44502</v>
      </c>
      <c r="F24" s="235">
        <v>44510</v>
      </c>
      <c r="G24" s="187">
        <f t="shared" si="4"/>
        <v>9</v>
      </c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7"/>
      <c r="BC24" s="197"/>
      <c r="BD24" s="197"/>
      <c r="BE24" s="197"/>
      <c r="BF24" s="197"/>
      <c r="BG24" s="197"/>
      <c r="BH24" s="197"/>
      <c r="BI24" s="197"/>
      <c r="BJ24" s="197"/>
      <c r="BK24" s="197"/>
    </row>
    <row r="25" spans="2:63" s="188" customFormat="1" ht="30" customHeight="1" thickBot="1" x14ac:dyDescent="0.3">
      <c r="B25" s="215" t="s">
        <v>235</v>
      </c>
      <c r="C25" s="207"/>
      <c r="D25" s="221">
        <v>0</v>
      </c>
      <c r="E25" s="219">
        <v>44502</v>
      </c>
      <c r="F25" s="235">
        <v>44511</v>
      </c>
      <c r="G25" s="187">
        <f t="shared" si="4"/>
        <v>10</v>
      </c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7"/>
      <c r="BH25" s="197"/>
      <c r="BI25" s="197"/>
      <c r="BJ25" s="197"/>
      <c r="BK25" s="197"/>
    </row>
    <row r="26" spans="2:63" s="188" customFormat="1" ht="30" customHeight="1" thickBot="1" x14ac:dyDescent="0.3">
      <c r="B26" s="216" t="s">
        <v>240</v>
      </c>
      <c r="C26" s="207"/>
      <c r="D26" s="221">
        <f>SUM(D27:D29)/COUNT(D27:D29)</f>
        <v>0</v>
      </c>
      <c r="E26" s="219">
        <v>44545</v>
      </c>
      <c r="F26" s="235">
        <v>44571</v>
      </c>
      <c r="G26" s="18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</row>
    <row r="27" spans="2:63" s="188" customFormat="1" ht="30" customHeight="1" thickBot="1" x14ac:dyDescent="0.3">
      <c r="B27" s="215" t="s">
        <v>233</v>
      </c>
      <c r="C27" s="207"/>
      <c r="D27" s="221">
        <v>0</v>
      </c>
      <c r="E27" s="219">
        <v>44545</v>
      </c>
      <c r="F27" s="235">
        <v>44547</v>
      </c>
      <c r="G27" s="18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197"/>
      <c r="BF27" s="197"/>
      <c r="BG27" s="197"/>
      <c r="BH27" s="197"/>
      <c r="BI27" s="197"/>
      <c r="BJ27" s="197"/>
      <c r="BK27" s="197"/>
    </row>
    <row r="28" spans="2:63" s="188" customFormat="1" ht="30" customHeight="1" thickBot="1" x14ac:dyDescent="0.3">
      <c r="B28" s="215" t="s">
        <v>234</v>
      </c>
      <c r="C28" s="207"/>
      <c r="D28" s="221">
        <v>0</v>
      </c>
      <c r="E28" s="219">
        <v>44548</v>
      </c>
      <c r="F28" s="235">
        <v>44552</v>
      </c>
      <c r="G28" s="18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197"/>
      <c r="BF28" s="197"/>
      <c r="BG28" s="197"/>
      <c r="BH28" s="197"/>
      <c r="BI28" s="197"/>
      <c r="BJ28" s="197"/>
      <c r="BK28" s="197"/>
    </row>
    <row r="29" spans="2:63" s="188" customFormat="1" ht="30" customHeight="1" thickBot="1" x14ac:dyDescent="0.3">
      <c r="B29" s="215" t="s">
        <v>235</v>
      </c>
      <c r="C29" s="207"/>
      <c r="D29" s="221">
        <v>0</v>
      </c>
      <c r="E29" s="219">
        <v>44552</v>
      </c>
      <c r="F29" s="235">
        <v>44558</v>
      </c>
      <c r="G29" s="18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7"/>
      <c r="BH29" s="197"/>
      <c r="BI29" s="197"/>
      <c r="BJ29" s="197"/>
      <c r="BK29" s="197"/>
    </row>
    <row r="30" spans="2:63" s="188" customFormat="1" ht="30" customHeight="1" thickBot="1" x14ac:dyDescent="0.3">
      <c r="B30" s="236" t="s">
        <v>241</v>
      </c>
      <c r="C30" s="207"/>
      <c r="D30" s="221">
        <f>SUM(D9,D14,D18,D22,D26)/5</f>
        <v>0.20316666666666666</v>
      </c>
      <c r="E30" s="219">
        <v>44420</v>
      </c>
      <c r="F30" s="235">
        <v>44571</v>
      </c>
      <c r="G30" s="18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97"/>
      <c r="BC30" s="197"/>
      <c r="BD30" s="197"/>
      <c r="BE30" s="197"/>
      <c r="BF30" s="197"/>
      <c r="BG30" s="197"/>
      <c r="BH30" s="197"/>
      <c r="BI30" s="197"/>
      <c r="BJ30" s="197"/>
      <c r="BK30" s="197"/>
    </row>
    <row r="31" spans="2:63" s="188" customFormat="1" ht="30" customHeight="1" thickBot="1" x14ac:dyDescent="0.3">
      <c r="B31" s="208" t="s">
        <v>242</v>
      </c>
      <c r="C31" s="207"/>
      <c r="D31" s="221"/>
      <c r="E31" s="219">
        <v>44573</v>
      </c>
      <c r="F31" s="235">
        <v>44573</v>
      </c>
      <c r="G31" s="18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7"/>
      <c r="BH31" s="197"/>
      <c r="BI31" s="197"/>
      <c r="BJ31" s="197"/>
      <c r="BK31" s="197"/>
    </row>
    <row r="32" spans="2:63" s="188" customFormat="1" ht="30" customHeight="1" thickBot="1" x14ac:dyDescent="0.3">
      <c r="B32" s="217" t="s">
        <v>243</v>
      </c>
      <c r="C32" s="209"/>
      <c r="D32" s="222"/>
      <c r="E32" s="220">
        <v>44574</v>
      </c>
      <c r="F32" s="237">
        <v>44574</v>
      </c>
      <c r="G32" s="194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7"/>
      <c r="BB32" s="197"/>
      <c r="BC32" s="197"/>
      <c r="BD32" s="197"/>
      <c r="BE32" s="197"/>
      <c r="BF32" s="197"/>
      <c r="BG32" s="197"/>
      <c r="BH32" s="197"/>
      <c r="BI32" s="197"/>
      <c r="BJ32" s="197"/>
      <c r="BK32" s="197"/>
    </row>
    <row r="34" spans="3:6" ht="30" customHeight="1" x14ac:dyDescent="0.25">
      <c r="C34" s="183"/>
      <c r="F34" s="189"/>
    </row>
    <row r="35" spans="3:6" ht="30" customHeight="1" x14ac:dyDescent="0.25">
      <c r="C35" s="190"/>
    </row>
  </sheetData>
  <mergeCells count="13">
    <mergeCell ref="B7:F7"/>
    <mergeCell ref="B2:BK2"/>
    <mergeCell ref="E6:F6"/>
    <mergeCell ref="D4:D5"/>
    <mergeCell ref="E4:F5"/>
    <mergeCell ref="H6:N6"/>
    <mergeCell ref="O6:U6"/>
    <mergeCell ref="V6:AB6"/>
    <mergeCell ref="AC6:AI6"/>
    <mergeCell ref="AJ6:AP6"/>
    <mergeCell ref="AQ6:AW6"/>
    <mergeCell ref="AX6:BD6"/>
    <mergeCell ref="BE6:BK6"/>
  </mergeCells>
  <conditionalFormatting sqref="D9:D32">
    <cfRule type="dataBar" priority="1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{B9930202-AD88-4503-8EDD-E48AE9628FC1}</x14:id>
        </ext>
      </extLst>
    </cfRule>
  </conditionalFormatting>
  <conditionalFormatting sqref="H7:BK32">
    <cfRule type="expression" dxfId="2" priority="4">
      <formula>AND(TODAY()&gt;=H$7,TODAY()&lt;I$7)</formula>
    </cfRule>
  </conditionalFormatting>
  <conditionalFormatting sqref="H9:BK32">
    <cfRule type="expression" dxfId="1" priority="2">
      <formula>AND(task_start&lt;=H$7,ROUNDDOWN((task_end-task_start+1)*task_progress,0)+task_start-1&gt;=H$7)</formula>
    </cfRule>
    <cfRule type="expression" dxfId="0" priority="3" stopIfTrue="1">
      <formula>AND(task_end&gt;=H$7,task_start&lt;I$7)</formula>
    </cfRule>
  </conditionalFormatting>
  <dataValidations count="1">
    <dataValidation type="whole" operator="greaterThanOrEqual" allowBlank="1" showInputMessage="1" promptTitle="Mostrar semana" prompt="Al cambiar este número, se desplazará la vista del diagrama de Gantt." sqref="E6" xr:uid="{0CD80CFB-D2CA-4DF6-8AF7-B2506FD3D336}">
      <formula1>1</formula1>
    </dataValidation>
  </dataValidations>
  <printOptions horizontalCentered="1"/>
  <pageMargins left="0.35" right="0.35" top="0.35" bottom="0.5" header="0.3" footer="0.3"/>
  <pageSetup paperSize="9" scale="60" fitToHeight="0" orientation="landscape" r:id="rId1"/>
  <headerFooter differentFirst="1" scaleWithDoc="0"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930202-AD88-4503-8EDD-E48AE9628F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D9:D32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65B3-BB61-47A8-BB55-5FE2E090F282}">
  <dimension ref="B2:H22"/>
  <sheetViews>
    <sheetView showGridLines="0" zoomScale="90" zoomScaleNormal="90" workbookViewId="0">
      <selection activeCell="J14" sqref="J14"/>
    </sheetView>
  </sheetViews>
  <sheetFormatPr baseColWidth="10" defaultRowHeight="15" x14ac:dyDescent="0.25"/>
  <cols>
    <col min="1" max="1" width="4.140625" customWidth="1"/>
    <col min="2" max="2" width="21" customWidth="1"/>
    <col min="3" max="3" width="25.140625" customWidth="1"/>
    <col min="4" max="4" width="19.140625" customWidth="1"/>
    <col min="5" max="5" width="20.85546875" customWidth="1"/>
    <col min="6" max="7" width="18.5703125" customWidth="1"/>
    <col min="8" max="8" width="17.7109375" customWidth="1"/>
  </cols>
  <sheetData>
    <row r="2" spans="2:8" ht="18" x14ac:dyDescent="0.25">
      <c r="B2" s="403" t="s">
        <v>187</v>
      </c>
      <c r="C2" s="403"/>
      <c r="D2" s="403"/>
      <c r="E2" s="403"/>
      <c r="F2" s="403"/>
      <c r="G2" s="403"/>
      <c r="H2" s="403"/>
    </row>
    <row r="3" spans="2:8" ht="18" x14ac:dyDescent="0.25">
      <c r="B3" s="403" t="s">
        <v>201</v>
      </c>
      <c r="C3" s="403"/>
      <c r="D3" s="407"/>
      <c r="E3" s="407"/>
      <c r="F3" s="407"/>
      <c r="G3" s="407"/>
      <c r="H3" s="407"/>
    </row>
    <row r="4" spans="2:8" ht="15.75" x14ac:dyDescent="0.25">
      <c r="B4" s="167" t="s">
        <v>188</v>
      </c>
      <c r="C4" s="167" t="s">
        <v>189</v>
      </c>
      <c r="D4" s="167" t="s">
        <v>190</v>
      </c>
      <c r="E4" s="167" t="s">
        <v>191</v>
      </c>
      <c r="F4" s="167" t="s">
        <v>192</v>
      </c>
      <c r="G4" s="167" t="s">
        <v>194</v>
      </c>
      <c r="H4" s="167" t="s">
        <v>193</v>
      </c>
    </row>
    <row r="5" spans="2:8" x14ac:dyDescent="0.25">
      <c r="B5" s="352"/>
      <c r="C5" s="352"/>
      <c r="D5" s="352"/>
      <c r="E5" s="352"/>
      <c r="F5" s="404"/>
      <c r="G5" s="404"/>
      <c r="H5" s="404"/>
    </row>
    <row r="6" spans="2:8" x14ac:dyDescent="0.25">
      <c r="B6" s="352"/>
      <c r="C6" s="352"/>
      <c r="D6" s="352"/>
      <c r="E6" s="352"/>
      <c r="F6" s="405"/>
      <c r="G6" s="405"/>
      <c r="H6" s="405"/>
    </row>
    <row r="7" spans="2:8" x14ac:dyDescent="0.25">
      <c r="B7" s="352"/>
      <c r="C7" s="352"/>
      <c r="D7" s="352"/>
      <c r="E7" s="352"/>
      <c r="F7" s="406"/>
      <c r="G7" s="406"/>
      <c r="H7" s="406"/>
    </row>
    <row r="8" spans="2:8" x14ac:dyDescent="0.25">
      <c r="B8" s="352"/>
      <c r="C8" s="352"/>
      <c r="D8" s="352"/>
      <c r="E8" s="352"/>
      <c r="F8" s="404"/>
      <c r="G8" s="404"/>
      <c r="H8" s="404"/>
    </row>
    <row r="9" spans="2:8" x14ac:dyDescent="0.25">
      <c r="B9" s="352"/>
      <c r="C9" s="352"/>
      <c r="D9" s="352"/>
      <c r="E9" s="352"/>
      <c r="F9" s="405"/>
      <c r="G9" s="405"/>
      <c r="H9" s="405"/>
    </row>
    <row r="10" spans="2:8" x14ac:dyDescent="0.25">
      <c r="B10" s="352"/>
      <c r="C10" s="352"/>
      <c r="D10" s="352"/>
      <c r="E10" s="352"/>
      <c r="F10" s="406"/>
      <c r="G10" s="406"/>
      <c r="H10" s="406"/>
    </row>
    <row r="11" spans="2:8" x14ac:dyDescent="0.25">
      <c r="B11" s="352"/>
      <c r="C11" s="352"/>
      <c r="D11" s="352"/>
      <c r="E11" s="352"/>
      <c r="F11" s="404"/>
      <c r="G11" s="404"/>
      <c r="H11" s="404"/>
    </row>
    <row r="12" spans="2:8" x14ac:dyDescent="0.25">
      <c r="B12" s="352"/>
      <c r="C12" s="352"/>
      <c r="D12" s="352"/>
      <c r="E12" s="352"/>
      <c r="F12" s="405"/>
      <c r="G12" s="405"/>
      <c r="H12" s="405"/>
    </row>
    <row r="13" spans="2:8" x14ac:dyDescent="0.25">
      <c r="B13" s="352"/>
      <c r="C13" s="352"/>
      <c r="D13" s="352"/>
      <c r="E13" s="352"/>
      <c r="F13" s="406"/>
      <c r="G13" s="406"/>
      <c r="H13" s="406"/>
    </row>
    <row r="14" spans="2:8" x14ac:dyDescent="0.25">
      <c r="B14" s="352"/>
      <c r="C14" s="352"/>
      <c r="D14" s="352"/>
      <c r="E14" s="352"/>
      <c r="F14" s="404"/>
      <c r="G14" s="404"/>
      <c r="H14" s="404"/>
    </row>
    <row r="15" spans="2:8" x14ac:dyDescent="0.25">
      <c r="B15" s="352"/>
      <c r="C15" s="352"/>
      <c r="D15" s="352"/>
      <c r="E15" s="352"/>
      <c r="F15" s="405"/>
      <c r="G15" s="405"/>
      <c r="H15" s="405"/>
    </row>
    <row r="16" spans="2:8" x14ac:dyDescent="0.25">
      <c r="B16" s="352"/>
      <c r="C16" s="352"/>
      <c r="D16" s="352"/>
      <c r="E16" s="352"/>
      <c r="F16" s="406"/>
      <c r="G16" s="406"/>
      <c r="H16" s="406"/>
    </row>
    <row r="17" spans="2:8" x14ac:dyDescent="0.25">
      <c r="B17" s="352"/>
      <c r="C17" s="352"/>
      <c r="D17" s="352"/>
      <c r="E17" s="352"/>
      <c r="F17" s="404"/>
      <c r="G17" s="404"/>
      <c r="H17" s="404"/>
    </row>
    <row r="18" spans="2:8" x14ac:dyDescent="0.25">
      <c r="B18" s="352"/>
      <c r="C18" s="352"/>
      <c r="D18" s="352"/>
      <c r="E18" s="352"/>
      <c r="F18" s="405"/>
      <c r="G18" s="405"/>
      <c r="H18" s="405"/>
    </row>
    <row r="19" spans="2:8" x14ac:dyDescent="0.25">
      <c r="B19" s="352"/>
      <c r="C19" s="352"/>
      <c r="D19" s="352"/>
      <c r="E19" s="352"/>
      <c r="F19" s="406"/>
      <c r="G19" s="406"/>
      <c r="H19" s="406"/>
    </row>
    <row r="20" spans="2:8" x14ac:dyDescent="0.25">
      <c r="B20" s="352"/>
      <c r="C20" s="352"/>
      <c r="D20" s="352"/>
      <c r="E20" s="352"/>
      <c r="F20" s="404"/>
      <c r="G20" s="404"/>
      <c r="H20" s="404"/>
    </row>
    <row r="21" spans="2:8" x14ac:dyDescent="0.25">
      <c r="B21" s="352"/>
      <c r="C21" s="352"/>
      <c r="D21" s="352"/>
      <c r="E21" s="352"/>
      <c r="F21" s="405"/>
      <c r="G21" s="405"/>
      <c r="H21" s="405"/>
    </row>
    <row r="22" spans="2:8" x14ac:dyDescent="0.25">
      <c r="B22" s="352"/>
      <c r="C22" s="352"/>
      <c r="D22" s="352"/>
      <c r="E22" s="352"/>
      <c r="F22" s="406"/>
      <c r="G22" s="406"/>
      <c r="H22" s="406"/>
    </row>
  </sheetData>
  <mergeCells count="45">
    <mergeCell ref="H20:H22"/>
    <mergeCell ref="B20:B22"/>
    <mergeCell ref="C20:C22"/>
    <mergeCell ref="D20:D22"/>
    <mergeCell ref="E20:E22"/>
    <mergeCell ref="F20:F22"/>
    <mergeCell ref="G20:G22"/>
    <mergeCell ref="H14:H16"/>
    <mergeCell ref="B17:B19"/>
    <mergeCell ref="C17:C19"/>
    <mergeCell ref="D17:D19"/>
    <mergeCell ref="E17:E19"/>
    <mergeCell ref="F17:F19"/>
    <mergeCell ref="G17:G19"/>
    <mergeCell ref="H17:H19"/>
    <mergeCell ref="B14:B16"/>
    <mergeCell ref="C14:C16"/>
    <mergeCell ref="D14:D16"/>
    <mergeCell ref="E14:E16"/>
    <mergeCell ref="F14:F16"/>
    <mergeCell ref="G14:G16"/>
    <mergeCell ref="H8:H10"/>
    <mergeCell ref="B11:B13"/>
    <mergeCell ref="C11:C13"/>
    <mergeCell ref="D11:D13"/>
    <mergeCell ref="E11:E13"/>
    <mergeCell ref="F11:F13"/>
    <mergeCell ref="G11:G13"/>
    <mergeCell ref="H11:H13"/>
    <mergeCell ref="B8:B10"/>
    <mergeCell ref="C8:C10"/>
    <mergeCell ref="D8:D10"/>
    <mergeCell ref="E8:E10"/>
    <mergeCell ref="F8:F10"/>
    <mergeCell ref="G8:G10"/>
    <mergeCell ref="B2:H2"/>
    <mergeCell ref="B5:B7"/>
    <mergeCell ref="C5:C7"/>
    <mergeCell ref="D5:D7"/>
    <mergeCell ref="E5:E7"/>
    <mergeCell ref="F5:F7"/>
    <mergeCell ref="G5:G7"/>
    <mergeCell ref="H5:H7"/>
    <mergeCell ref="B3:C3"/>
    <mergeCell ref="D3:H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84EA-DB93-4DC2-95D6-A2999465CC4B}">
  <dimension ref="B2:H31"/>
  <sheetViews>
    <sheetView showGridLines="0" zoomScale="80" zoomScaleNormal="80" workbookViewId="0">
      <selection activeCell="K21" sqref="K21"/>
    </sheetView>
  </sheetViews>
  <sheetFormatPr baseColWidth="10" defaultRowHeight="15" x14ac:dyDescent="0.25"/>
  <cols>
    <col min="1" max="1" width="6.28515625" customWidth="1"/>
    <col min="2" max="2" width="30.5703125" customWidth="1"/>
    <col min="6" max="6" width="23.140625" customWidth="1"/>
  </cols>
  <sheetData>
    <row r="2" spans="2:8" ht="18" x14ac:dyDescent="0.25">
      <c r="B2" s="409" t="s">
        <v>195</v>
      </c>
      <c r="C2" s="409"/>
      <c r="D2" s="409"/>
      <c r="E2" s="409"/>
      <c r="F2" s="409"/>
      <c r="G2" s="409"/>
      <c r="H2" s="409"/>
    </row>
    <row r="3" spans="2:8" x14ac:dyDescent="0.25">
      <c r="B3" s="170" t="s">
        <v>196</v>
      </c>
      <c r="C3" s="408" t="s">
        <v>247</v>
      </c>
      <c r="D3" s="408"/>
      <c r="E3" s="408"/>
      <c r="F3" s="408"/>
      <c r="G3" s="408" t="s">
        <v>197</v>
      </c>
      <c r="H3" s="408"/>
    </row>
    <row r="4" spans="2:8" x14ac:dyDescent="0.25">
      <c r="B4" s="352"/>
      <c r="C4" s="352"/>
      <c r="D4" s="352"/>
      <c r="E4" s="352"/>
      <c r="F4" s="352"/>
      <c r="G4" s="370"/>
      <c r="H4" s="371"/>
    </row>
    <row r="5" spans="2:8" x14ac:dyDescent="0.25">
      <c r="B5" s="352"/>
      <c r="C5" s="352"/>
      <c r="D5" s="352"/>
      <c r="E5" s="352"/>
      <c r="F5" s="352"/>
      <c r="G5" s="372"/>
      <c r="H5" s="373"/>
    </row>
    <row r="6" spans="2:8" x14ac:dyDescent="0.25">
      <c r="B6" s="352"/>
      <c r="C6" s="352"/>
      <c r="D6" s="352"/>
      <c r="E6" s="352"/>
      <c r="F6" s="352"/>
      <c r="G6" s="372"/>
      <c r="H6" s="373"/>
    </row>
    <row r="7" spans="2:8" x14ac:dyDescent="0.25">
      <c r="B7" s="352"/>
      <c r="C7" s="352"/>
      <c r="D7" s="352"/>
      <c r="E7" s="352"/>
      <c r="F7" s="352"/>
      <c r="G7" s="374"/>
      <c r="H7" s="375"/>
    </row>
    <row r="8" spans="2:8" x14ac:dyDescent="0.25">
      <c r="B8" s="352"/>
      <c r="C8" s="352"/>
      <c r="D8" s="352"/>
      <c r="E8" s="352"/>
      <c r="F8" s="352"/>
      <c r="G8" s="370"/>
      <c r="H8" s="371"/>
    </row>
    <row r="9" spans="2:8" x14ac:dyDescent="0.25">
      <c r="B9" s="352"/>
      <c r="C9" s="352"/>
      <c r="D9" s="352"/>
      <c r="E9" s="352"/>
      <c r="F9" s="352"/>
      <c r="G9" s="372"/>
      <c r="H9" s="373"/>
    </row>
    <row r="10" spans="2:8" x14ac:dyDescent="0.25">
      <c r="B10" s="352"/>
      <c r="C10" s="352"/>
      <c r="D10" s="352"/>
      <c r="E10" s="352"/>
      <c r="F10" s="352"/>
      <c r="G10" s="372"/>
      <c r="H10" s="373"/>
    </row>
    <row r="11" spans="2:8" x14ac:dyDescent="0.25">
      <c r="B11" s="352"/>
      <c r="C11" s="352"/>
      <c r="D11" s="352"/>
      <c r="E11" s="352"/>
      <c r="F11" s="352"/>
      <c r="G11" s="374"/>
      <c r="H11" s="375"/>
    </row>
    <row r="12" spans="2:8" x14ac:dyDescent="0.25">
      <c r="B12" s="352"/>
      <c r="C12" s="352"/>
      <c r="D12" s="352"/>
      <c r="E12" s="352"/>
      <c r="F12" s="352"/>
      <c r="G12" s="370"/>
      <c r="H12" s="371"/>
    </row>
    <row r="13" spans="2:8" x14ac:dyDescent="0.25">
      <c r="B13" s="352"/>
      <c r="C13" s="352"/>
      <c r="D13" s="352"/>
      <c r="E13" s="352"/>
      <c r="F13" s="352"/>
      <c r="G13" s="372"/>
      <c r="H13" s="373"/>
    </row>
    <row r="14" spans="2:8" x14ac:dyDescent="0.25">
      <c r="B14" s="352"/>
      <c r="C14" s="352"/>
      <c r="D14" s="352"/>
      <c r="E14" s="352"/>
      <c r="F14" s="352"/>
      <c r="G14" s="372"/>
      <c r="H14" s="373"/>
    </row>
    <row r="15" spans="2:8" x14ac:dyDescent="0.25">
      <c r="B15" s="352"/>
      <c r="C15" s="352"/>
      <c r="D15" s="352"/>
      <c r="E15" s="352"/>
      <c r="F15" s="352"/>
      <c r="G15" s="374"/>
      <c r="H15" s="375"/>
    </row>
    <row r="16" spans="2:8" x14ac:dyDescent="0.25">
      <c r="B16" s="352"/>
      <c r="C16" s="352"/>
      <c r="D16" s="352"/>
      <c r="E16" s="352"/>
      <c r="F16" s="352"/>
      <c r="G16" s="370"/>
      <c r="H16" s="371"/>
    </row>
    <row r="17" spans="2:8" x14ac:dyDescent="0.25">
      <c r="B17" s="352"/>
      <c r="C17" s="352"/>
      <c r="D17" s="352"/>
      <c r="E17" s="352"/>
      <c r="F17" s="352"/>
      <c r="G17" s="372"/>
      <c r="H17" s="373"/>
    </row>
    <row r="18" spans="2:8" x14ac:dyDescent="0.25">
      <c r="B18" s="352"/>
      <c r="C18" s="352"/>
      <c r="D18" s="352"/>
      <c r="E18" s="352"/>
      <c r="F18" s="352"/>
      <c r="G18" s="372"/>
      <c r="H18" s="373"/>
    </row>
    <row r="19" spans="2:8" x14ac:dyDescent="0.25">
      <c r="B19" s="352"/>
      <c r="C19" s="352"/>
      <c r="D19" s="352"/>
      <c r="E19" s="352"/>
      <c r="F19" s="352"/>
      <c r="G19" s="374"/>
      <c r="H19" s="375"/>
    </row>
    <row r="20" spans="2:8" x14ac:dyDescent="0.25">
      <c r="B20" s="352"/>
      <c r="C20" s="352"/>
      <c r="D20" s="352"/>
      <c r="E20" s="352"/>
      <c r="F20" s="352"/>
      <c r="G20" s="370"/>
      <c r="H20" s="371"/>
    </row>
    <row r="21" spans="2:8" x14ac:dyDescent="0.25">
      <c r="B21" s="352"/>
      <c r="C21" s="352"/>
      <c r="D21" s="352"/>
      <c r="E21" s="352"/>
      <c r="F21" s="352"/>
      <c r="G21" s="372"/>
      <c r="H21" s="373"/>
    </row>
    <row r="22" spans="2:8" x14ac:dyDescent="0.25">
      <c r="B22" s="352"/>
      <c r="C22" s="352"/>
      <c r="D22" s="352"/>
      <c r="E22" s="352"/>
      <c r="F22" s="352"/>
      <c r="G22" s="372"/>
      <c r="H22" s="373"/>
    </row>
    <row r="23" spans="2:8" x14ac:dyDescent="0.25">
      <c r="B23" s="352"/>
      <c r="C23" s="352"/>
      <c r="D23" s="352"/>
      <c r="E23" s="352"/>
      <c r="F23" s="352"/>
      <c r="G23" s="374"/>
      <c r="H23" s="375"/>
    </row>
    <row r="24" spans="2:8" x14ac:dyDescent="0.25">
      <c r="B24" s="352"/>
      <c r="C24" s="352"/>
      <c r="D24" s="352"/>
      <c r="E24" s="352"/>
      <c r="F24" s="352"/>
      <c r="G24" s="370"/>
      <c r="H24" s="371"/>
    </row>
    <row r="25" spans="2:8" x14ac:dyDescent="0.25">
      <c r="B25" s="352"/>
      <c r="C25" s="352"/>
      <c r="D25" s="352"/>
      <c r="E25" s="352"/>
      <c r="F25" s="352"/>
      <c r="G25" s="372"/>
      <c r="H25" s="373"/>
    </row>
    <row r="26" spans="2:8" x14ac:dyDescent="0.25">
      <c r="B26" s="352"/>
      <c r="C26" s="352"/>
      <c r="D26" s="352"/>
      <c r="E26" s="352"/>
      <c r="F26" s="352"/>
      <c r="G26" s="372"/>
      <c r="H26" s="373"/>
    </row>
    <row r="27" spans="2:8" x14ac:dyDescent="0.25">
      <c r="B27" s="352"/>
      <c r="C27" s="352"/>
      <c r="D27" s="352"/>
      <c r="E27" s="352"/>
      <c r="F27" s="352"/>
      <c r="G27" s="374"/>
      <c r="H27" s="375"/>
    </row>
    <row r="28" spans="2:8" x14ac:dyDescent="0.25">
      <c r="B28" s="352"/>
      <c r="C28" s="352"/>
      <c r="D28" s="352"/>
      <c r="E28" s="352"/>
      <c r="F28" s="352"/>
      <c r="G28" s="370"/>
      <c r="H28" s="371"/>
    </row>
    <row r="29" spans="2:8" x14ac:dyDescent="0.25">
      <c r="B29" s="352"/>
      <c r="C29" s="352"/>
      <c r="D29" s="352"/>
      <c r="E29" s="352"/>
      <c r="F29" s="352"/>
      <c r="G29" s="372"/>
      <c r="H29" s="373"/>
    </row>
    <row r="30" spans="2:8" x14ac:dyDescent="0.25">
      <c r="B30" s="352"/>
      <c r="C30" s="352"/>
      <c r="D30" s="352"/>
      <c r="E30" s="352"/>
      <c r="F30" s="352"/>
      <c r="G30" s="372"/>
      <c r="H30" s="373"/>
    </row>
    <row r="31" spans="2:8" x14ac:dyDescent="0.25">
      <c r="B31" s="352"/>
      <c r="C31" s="352"/>
      <c r="D31" s="352"/>
      <c r="E31" s="352"/>
      <c r="F31" s="352"/>
      <c r="G31" s="374"/>
      <c r="H31" s="375"/>
    </row>
  </sheetData>
  <mergeCells count="24">
    <mergeCell ref="G20:H23"/>
    <mergeCell ref="G24:H27"/>
    <mergeCell ref="G28:H31"/>
    <mergeCell ref="C28:F31"/>
    <mergeCell ref="B20:B23"/>
    <mergeCell ref="B24:B27"/>
    <mergeCell ref="B28:B31"/>
    <mergeCell ref="C20:F23"/>
    <mergeCell ref="C24:F27"/>
    <mergeCell ref="G3:H3"/>
    <mergeCell ref="B2:H2"/>
    <mergeCell ref="G4:H7"/>
    <mergeCell ref="G8:H11"/>
    <mergeCell ref="G12:H15"/>
    <mergeCell ref="C3:F3"/>
    <mergeCell ref="B4:B7"/>
    <mergeCell ref="C4:F7"/>
    <mergeCell ref="G16:H19"/>
    <mergeCell ref="B16:B19"/>
    <mergeCell ref="C8:F11"/>
    <mergeCell ref="C12:F15"/>
    <mergeCell ref="C16:F19"/>
    <mergeCell ref="B8:B11"/>
    <mergeCell ref="B12:B1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DAAD-C246-4AD5-A8EE-46CA183206B6}">
  <sheetPr>
    <pageSetUpPr autoPageBreaks="0" fitToPage="1"/>
  </sheetPr>
  <dimension ref="B2:Y74"/>
  <sheetViews>
    <sheetView showGridLines="0" zoomScale="60" zoomScaleNormal="60" workbookViewId="0">
      <selection activeCell="AF1" sqref="AF1"/>
    </sheetView>
  </sheetViews>
  <sheetFormatPr baseColWidth="10" defaultColWidth="9.140625" defaultRowHeight="12.75" x14ac:dyDescent="0.2"/>
  <cols>
    <col min="1" max="1" width="2.42578125" style="33" customWidth="1"/>
    <col min="2" max="3" width="3.7109375" style="33" customWidth="1"/>
    <col min="4" max="4" width="28.5703125" style="33" customWidth="1"/>
    <col min="5" max="8" width="11.28515625" style="33" customWidth="1"/>
    <col min="9" max="9" width="4.42578125" style="33" customWidth="1"/>
    <col min="10" max="11" width="3.7109375" style="33" customWidth="1"/>
    <col min="12" max="12" width="11.5703125" style="33" customWidth="1"/>
    <col min="13" max="13" width="7.42578125" style="33" customWidth="1"/>
    <col min="14" max="14" width="9.140625" style="33"/>
    <col min="15" max="17" width="10.28515625" style="33" customWidth="1"/>
    <col min="18" max="18" width="13.42578125" style="33" customWidth="1"/>
    <col min="19" max="19" width="10.28515625" style="33" customWidth="1"/>
    <col min="20" max="33" width="9.140625" style="33"/>
    <col min="34" max="34" width="9.85546875" style="33" customWidth="1"/>
    <col min="35" max="16384" width="9.140625" style="33"/>
  </cols>
  <sheetData>
    <row r="2" spans="2:25" ht="35.25" x14ac:dyDescent="0.2">
      <c r="B2" s="479" t="s">
        <v>96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X2" s="65"/>
      <c r="Y2" s="65"/>
    </row>
    <row r="3" spans="2:25" x14ac:dyDescent="0.2">
      <c r="B3" s="128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129"/>
    </row>
    <row r="4" spans="2:25" x14ac:dyDescent="0.2">
      <c r="B4" s="17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129"/>
    </row>
    <row r="5" spans="2:25" ht="18" x14ac:dyDescent="0.25">
      <c r="B5" s="454" t="s">
        <v>97</v>
      </c>
      <c r="C5" s="455"/>
      <c r="D5" s="455"/>
      <c r="E5" s="455"/>
      <c r="F5" s="455"/>
      <c r="G5" s="455"/>
      <c r="H5" s="456"/>
      <c r="I5" s="65"/>
      <c r="J5" s="454" t="s">
        <v>245</v>
      </c>
      <c r="K5" s="455"/>
      <c r="L5" s="455"/>
      <c r="M5" s="455"/>
      <c r="N5" s="455"/>
      <c r="O5" s="455"/>
      <c r="P5" s="455"/>
      <c r="Q5" s="455"/>
      <c r="R5" s="455"/>
      <c r="S5" s="456"/>
      <c r="T5" s="92"/>
    </row>
    <row r="6" spans="2:25" ht="15" customHeight="1" x14ac:dyDescent="0.2">
      <c r="B6" s="128"/>
      <c r="C6" s="65"/>
      <c r="D6" s="460"/>
      <c r="E6" s="461"/>
      <c r="F6" s="461"/>
      <c r="G6" s="461"/>
      <c r="H6" s="462"/>
      <c r="I6" s="65"/>
      <c r="J6" s="65"/>
      <c r="K6" s="103"/>
      <c r="L6" s="104"/>
      <c r="M6" s="65"/>
      <c r="N6" s="65"/>
      <c r="O6" s="65"/>
      <c r="P6" s="65"/>
      <c r="Q6" s="65"/>
      <c r="R6" s="65"/>
      <c r="S6" s="129"/>
    </row>
    <row r="7" spans="2:25" ht="15" customHeight="1" x14ac:dyDescent="0.2">
      <c r="B7" s="128"/>
      <c r="C7" s="65"/>
      <c r="D7" s="466"/>
      <c r="E7" s="467"/>
      <c r="F7" s="467"/>
      <c r="G7" s="467"/>
      <c r="H7" s="468"/>
      <c r="I7" s="65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93"/>
    </row>
    <row r="8" spans="2:25" ht="15" x14ac:dyDescent="0.2">
      <c r="B8" s="128"/>
      <c r="C8" s="65"/>
      <c r="D8" s="65"/>
      <c r="E8" s="65"/>
      <c r="F8" s="65"/>
      <c r="G8" s="65"/>
      <c r="H8" s="105"/>
      <c r="I8" s="65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93"/>
    </row>
    <row r="9" spans="2:25" ht="16.5" x14ac:dyDescent="0.2">
      <c r="B9" s="454" t="s">
        <v>202</v>
      </c>
      <c r="C9" s="455"/>
      <c r="D9" s="455"/>
      <c r="E9" s="455"/>
      <c r="F9" s="455"/>
      <c r="G9" s="455"/>
      <c r="H9" s="456"/>
      <c r="I9" s="65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93"/>
    </row>
    <row r="10" spans="2:25" ht="15" x14ac:dyDescent="0.2">
      <c r="B10" s="128"/>
      <c r="C10" s="65"/>
      <c r="D10" s="94" t="s">
        <v>98</v>
      </c>
      <c r="E10" s="457"/>
      <c r="F10" s="458"/>
      <c r="G10" s="458"/>
      <c r="H10" s="459"/>
      <c r="I10" s="65"/>
      <c r="J10" s="419"/>
      <c r="K10" s="419"/>
      <c r="L10" s="419"/>
      <c r="M10" s="419"/>
      <c r="N10" s="419"/>
      <c r="O10" s="419"/>
      <c r="P10" s="419"/>
      <c r="Q10" s="419"/>
      <c r="R10" s="419"/>
      <c r="S10" s="419"/>
    </row>
    <row r="11" spans="2:25" ht="15" customHeight="1" x14ac:dyDescent="0.2">
      <c r="B11" s="128"/>
      <c r="C11" s="65"/>
      <c r="D11" s="95" t="s">
        <v>99</v>
      </c>
      <c r="E11" s="457"/>
      <c r="F11" s="458"/>
      <c r="G11" s="458"/>
      <c r="H11" s="459"/>
      <c r="I11" s="65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96"/>
    </row>
    <row r="12" spans="2:25" ht="15" customHeight="1" x14ac:dyDescent="0.2">
      <c r="B12" s="128"/>
      <c r="C12" s="65"/>
      <c r="D12" s="95" t="s">
        <v>100</v>
      </c>
      <c r="E12" s="152"/>
      <c r="F12" s="153"/>
      <c r="G12" s="153"/>
      <c r="H12" s="154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129"/>
      <c r="T12" s="96"/>
    </row>
    <row r="13" spans="2:25" ht="17.25" customHeight="1" x14ac:dyDescent="0.25">
      <c r="B13" s="128"/>
      <c r="C13" s="65"/>
      <c r="D13" s="95" t="s">
        <v>101</v>
      </c>
      <c r="E13" s="152"/>
      <c r="F13" s="153"/>
      <c r="G13" s="153"/>
      <c r="H13" s="154"/>
      <c r="I13" s="65"/>
      <c r="J13" s="417" t="s">
        <v>246</v>
      </c>
      <c r="K13" s="417"/>
      <c r="L13" s="417"/>
      <c r="M13" s="417"/>
      <c r="N13" s="417"/>
      <c r="O13" s="417"/>
      <c r="P13" s="417"/>
      <c r="Q13" s="417"/>
      <c r="R13" s="417"/>
      <c r="S13" s="418"/>
      <c r="T13" s="96"/>
    </row>
    <row r="14" spans="2:25" ht="15" customHeight="1" x14ac:dyDescent="0.2">
      <c r="B14" s="128"/>
      <c r="C14" s="65"/>
      <c r="D14" s="95" t="s">
        <v>106</v>
      </c>
      <c r="E14" s="457"/>
      <c r="F14" s="458"/>
      <c r="G14" s="458"/>
      <c r="H14" s="459"/>
      <c r="I14" s="65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96"/>
    </row>
    <row r="15" spans="2:25" ht="15" customHeight="1" x14ac:dyDescent="0.2">
      <c r="B15" s="128"/>
      <c r="C15" s="65"/>
      <c r="D15" s="95" t="s">
        <v>203</v>
      </c>
      <c r="E15" s="152"/>
      <c r="F15" s="153"/>
      <c r="G15" s="153"/>
      <c r="H15" s="154"/>
      <c r="I15" s="65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96"/>
    </row>
    <row r="16" spans="2:25" ht="15" customHeight="1" x14ac:dyDescent="0.2">
      <c r="B16" s="128"/>
      <c r="C16" s="65"/>
      <c r="D16" s="95" t="s">
        <v>203</v>
      </c>
      <c r="E16" s="152"/>
      <c r="F16" s="153"/>
      <c r="G16" s="153"/>
      <c r="H16" s="154"/>
      <c r="I16" s="65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96"/>
    </row>
    <row r="17" spans="2:20" ht="15.75" customHeight="1" x14ac:dyDescent="0.2">
      <c r="B17" s="128"/>
      <c r="C17" s="65"/>
      <c r="D17" s="95" t="s">
        <v>203</v>
      </c>
      <c r="E17" s="457"/>
      <c r="F17" s="458"/>
      <c r="G17" s="458"/>
      <c r="H17" s="459"/>
      <c r="I17" s="65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96"/>
    </row>
    <row r="18" spans="2:20" ht="15" customHeight="1" x14ac:dyDescent="0.2">
      <c r="B18" s="128"/>
      <c r="C18" s="65"/>
      <c r="D18" s="95" t="s">
        <v>203</v>
      </c>
      <c r="E18" s="457"/>
      <c r="F18" s="458"/>
      <c r="G18" s="458"/>
      <c r="H18" s="459"/>
      <c r="I18" s="65"/>
      <c r="J18" s="419"/>
      <c r="K18" s="419"/>
      <c r="L18" s="419"/>
      <c r="M18" s="419"/>
      <c r="N18" s="419"/>
      <c r="O18" s="419"/>
      <c r="P18" s="419"/>
      <c r="Q18" s="419"/>
      <c r="R18" s="419"/>
      <c r="S18" s="419"/>
    </row>
    <row r="19" spans="2:20" ht="15" x14ac:dyDescent="0.2">
      <c r="B19" s="128"/>
      <c r="C19" s="65"/>
      <c r="D19" s="65"/>
      <c r="E19" s="65"/>
      <c r="F19" s="65"/>
      <c r="G19" s="65"/>
      <c r="H19" s="65"/>
      <c r="I19" s="65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97"/>
    </row>
    <row r="20" spans="2:20" ht="16.5" x14ac:dyDescent="0.2">
      <c r="B20" s="454" t="s">
        <v>107</v>
      </c>
      <c r="C20" s="455"/>
      <c r="D20" s="455"/>
      <c r="E20" s="455"/>
      <c r="F20" s="455"/>
      <c r="G20" s="455"/>
      <c r="H20" s="456"/>
      <c r="I20" s="65"/>
      <c r="J20" s="419"/>
      <c r="K20" s="419"/>
      <c r="L20" s="419"/>
      <c r="M20" s="419"/>
      <c r="N20" s="419"/>
      <c r="O20" s="419"/>
      <c r="P20" s="419"/>
      <c r="Q20" s="419"/>
      <c r="R20" s="419"/>
      <c r="S20" s="419"/>
    </row>
    <row r="21" spans="2:20" ht="15" x14ac:dyDescent="0.2">
      <c r="B21" s="128"/>
      <c r="C21" s="65"/>
      <c r="D21" s="460"/>
      <c r="E21" s="469"/>
      <c r="F21" s="469"/>
      <c r="G21" s="469"/>
      <c r="H21" s="470"/>
      <c r="I21" s="65"/>
      <c r="J21" s="65"/>
      <c r="K21" s="172"/>
      <c r="L21" s="480"/>
      <c r="M21" s="480"/>
      <c r="N21" s="451"/>
      <c r="O21" s="451"/>
      <c r="P21" s="452"/>
      <c r="Q21" s="452"/>
      <c r="R21" s="452"/>
      <c r="S21" s="453"/>
      <c r="T21" s="93"/>
    </row>
    <row r="22" spans="2:20" ht="15.75" x14ac:dyDescent="0.25">
      <c r="B22" s="128"/>
      <c r="C22" s="65"/>
      <c r="D22" s="471"/>
      <c r="E22" s="472"/>
      <c r="F22" s="472"/>
      <c r="G22" s="472"/>
      <c r="H22" s="473"/>
      <c r="I22" s="65"/>
      <c r="J22" s="417" t="s">
        <v>102</v>
      </c>
      <c r="K22" s="417"/>
      <c r="L22" s="417"/>
      <c r="M22" s="418"/>
      <c r="N22" s="430" t="s">
        <v>103</v>
      </c>
      <c r="O22" s="431"/>
      <c r="P22" s="432" t="s">
        <v>104</v>
      </c>
      <c r="Q22" s="433"/>
      <c r="R22" s="432" t="s">
        <v>105</v>
      </c>
      <c r="S22" s="433"/>
      <c r="T22" s="93"/>
    </row>
    <row r="23" spans="2:20" ht="15.75" customHeight="1" x14ac:dyDescent="0.2">
      <c r="B23" s="128"/>
      <c r="C23" s="65"/>
      <c r="D23" s="471"/>
      <c r="E23" s="472"/>
      <c r="F23" s="472"/>
      <c r="G23" s="472"/>
      <c r="H23" s="473"/>
      <c r="I23" s="65"/>
      <c r="J23" s="420" t="s">
        <v>205</v>
      </c>
      <c r="K23" s="420"/>
      <c r="L23" s="420"/>
      <c r="M23" s="420"/>
      <c r="N23" s="422"/>
      <c r="O23" s="423"/>
      <c r="P23" s="424"/>
      <c r="Q23" s="425"/>
      <c r="R23" s="424"/>
      <c r="S23" s="425"/>
      <c r="T23" s="93"/>
    </row>
    <row r="24" spans="2:20" ht="15" x14ac:dyDescent="0.2">
      <c r="B24" s="128"/>
      <c r="C24" s="65"/>
      <c r="D24" s="471"/>
      <c r="E24" s="472"/>
      <c r="F24" s="472"/>
      <c r="G24" s="472"/>
      <c r="H24" s="473"/>
      <c r="I24" s="65"/>
      <c r="J24" s="420" t="s">
        <v>109</v>
      </c>
      <c r="K24" s="420" t="s">
        <v>108</v>
      </c>
      <c r="L24" s="420" t="s">
        <v>108</v>
      </c>
      <c r="M24" s="420" t="s">
        <v>108</v>
      </c>
      <c r="N24" s="422"/>
      <c r="O24" s="423"/>
      <c r="P24" s="424"/>
      <c r="Q24" s="425"/>
      <c r="R24" s="424"/>
      <c r="S24" s="425"/>
      <c r="T24" s="93"/>
    </row>
    <row r="25" spans="2:20" ht="15" x14ac:dyDescent="0.2">
      <c r="B25" s="128"/>
      <c r="C25" s="65"/>
      <c r="D25" s="471"/>
      <c r="E25" s="472"/>
      <c r="F25" s="472"/>
      <c r="G25" s="472"/>
      <c r="H25" s="473"/>
      <c r="I25" s="65"/>
      <c r="J25" s="420" t="s">
        <v>206</v>
      </c>
      <c r="K25" s="420" t="s">
        <v>109</v>
      </c>
      <c r="L25" s="420" t="s">
        <v>109</v>
      </c>
      <c r="M25" s="420" t="s">
        <v>109</v>
      </c>
      <c r="N25" s="422"/>
      <c r="O25" s="423"/>
      <c r="P25" s="424"/>
      <c r="Q25" s="425"/>
      <c r="R25" s="424"/>
      <c r="S25" s="425"/>
      <c r="T25" s="93"/>
    </row>
    <row r="26" spans="2:20" ht="15" x14ac:dyDescent="0.2">
      <c r="B26" s="128"/>
      <c r="C26" s="65"/>
      <c r="D26" s="474"/>
      <c r="E26" s="475"/>
      <c r="F26" s="475"/>
      <c r="G26" s="475"/>
      <c r="H26" s="476"/>
      <c r="I26" s="65"/>
      <c r="J26" s="420" t="s">
        <v>207</v>
      </c>
      <c r="K26" s="420" t="s">
        <v>110</v>
      </c>
      <c r="L26" s="420" t="s">
        <v>110</v>
      </c>
      <c r="M26" s="420" t="s">
        <v>110</v>
      </c>
      <c r="N26" s="422"/>
      <c r="O26" s="423"/>
      <c r="P26" s="424"/>
      <c r="Q26" s="425"/>
      <c r="R26" s="424"/>
      <c r="S26" s="425"/>
      <c r="T26" s="93"/>
    </row>
    <row r="27" spans="2:20" ht="15" x14ac:dyDescent="0.2">
      <c r="B27" s="128"/>
      <c r="C27" s="65"/>
      <c r="D27" s="106"/>
      <c r="E27" s="65"/>
      <c r="F27" s="65"/>
      <c r="G27" s="65"/>
      <c r="H27" s="65"/>
      <c r="I27" s="65"/>
      <c r="J27" s="420" t="s">
        <v>112</v>
      </c>
      <c r="K27" s="420" t="s">
        <v>111</v>
      </c>
      <c r="L27" s="420" t="s">
        <v>111</v>
      </c>
      <c r="M27" s="420" t="s">
        <v>111</v>
      </c>
      <c r="N27" s="422"/>
      <c r="O27" s="423"/>
      <c r="P27" s="424"/>
      <c r="Q27" s="425"/>
      <c r="R27" s="424"/>
      <c r="S27" s="425"/>
      <c r="T27" s="93"/>
    </row>
    <row r="28" spans="2:20" ht="18.75" customHeight="1" x14ac:dyDescent="0.2">
      <c r="B28" s="454" t="s">
        <v>115</v>
      </c>
      <c r="C28" s="455"/>
      <c r="D28" s="455"/>
      <c r="E28" s="455"/>
      <c r="F28" s="455"/>
      <c r="G28" s="455"/>
      <c r="H28" s="456"/>
      <c r="I28" s="65"/>
      <c r="J28" s="420" t="s">
        <v>208</v>
      </c>
      <c r="K28" s="420" t="s">
        <v>112</v>
      </c>
      <c r="L28" s="420" t="s">
        <v>112</v>
      </c>
      <c r="M28" s="420" t="s">
        <v>112</v>
      </c>
      <c r="N28" s="422"/>
      <c r="O28" s="423"/>
      <c r="P28" s="424"/>
      <c r="Q28" s="425"/>
      <c r="R28" s="424"/>
      <c r="S28" s="425"/>
      <c r="T28" s="93"/>
    </row>
    <row r="29" spans="2:20" ht="15" x14ac:dyDescent="0.2">
      <c r="B29" s="128"/>
      <c r="C29" s="65"/>
      <c r="D29" s="460"/>
      <c r="E29" s="469"/>
      <c r="F29" s="469"/>
      <c r="G29" s="469"/>
      <c r="H29" s="470"/>
      <c r="I29" s="65"/>
      <c r="J29" s="420" t="s">
        <v>113</v>
      </c>
      <c r="K29" s="420" t="s">
        <v>113</v>
      </c>
      <c r="L29" s="420" t="s">
        <v>113</v>
      </c>
      <c r="M29" s="420" t="s">
        <v>113</v>
      </c>
      <c r="N29" s="422"/>
      <c r="O29" s="423"/>
      <c r="P29" s="424"/>
      <c r="Q29" s="425"/>
      <c r="R29" s="424"/>
      <c r="S29" s="425"/>
      <c r="T29" s="93"/>
    </row>
    <row r="30" spans="2:20" ht="15" x14ac:dyDescent="0.2">
      <c r="B30" s="128"/>
      <c r="C30" s="65"/>
      <c r="D30" s="471"/>
      <c r="E30" s="472"/>
      <c r="F30" s="472"/>
      <c r="G30" s="472"/>
      <c r="H30" s="473"/>
      <c r="I30" s="65"/>
      <c r="J30" s="420" t="s">
        <v>210</v>
      </c>
      <c r="K30" s="420" t="s">
        <v>80</v>
      </c>
      <c r="L30" s="420" t="s">
        <v>80</v>
      </c>
      <c r="M30" s="420" t="s">
        <v>80</v>
      </c>
      <c r="N30" s="422"/>
      <c r="O30" s="423"/>
      <c r="P30" s="424"/>
      <c r="Q30" s="425"/>
      <c r="R30" s="424"/>
      <c r="S30" s="425"/>
      <c r="T30" s="93"/>
    </row>
    <row r="31" spans="2:20" ht="15" x14ac:dyDescent="0.2">
      <c r="B31" s="128"/>
      <c r="C31" s="65"/>
      <c r="D31" s="471"/>
      <c r="E31" s="472"/>
      <c r="F31" s="472"/>
      <c r="G31" s="472"/>
      <c r="H31" s="473"/>
      <c r="I31" s="65"/>
      <c r="J31" s="420" t="s">
        <v>209</v>
      </c>
      <c r="K31" s="420" t="s">
        <v>114</v>
      </c>
      <c r="L31" s="420" t="s">
        <v>114</v>
      </c>
      <c r="M31" s="420" t="s">
        <v>114</v>
      </c>
      <c r="N31" s="422"/>
      <c r="O31" s="423"/>
      <c r="P31" s="424"/>
      <c r="Q31" s="425"/>
      <c r="R31" s="424"/>
      <c r="S31" s="425"/>
      <c r="T31" s="93"/>
    </row>
    <row r="32" spans="2:20" ht="15.75" thickBot="1" x14ac:dyDescent="0.25">
      <c r="B32" s="128"/>
      <c r="C32" s="65"/>
      <c r="D32" s="471"/>
      <c r="E32" s="472"/>
      <c r="F32" s="472"/>
      <c r="G32" s="472"/>
      <c r="H32" s="473"/>
      <c r="I32" s="65"/>
      <c r="J32" s="420" t="s">
        <v>211</v>
      </c>
      <c r="K32" s="420"/>
      <c r="L32" s="420"/>
      <c r="M32" s="420"/>
      <c r="N32" s="426"/>
      <c r="O32" s="427"/>
      <c r="P32" s="428"/>
      <c r="Q32" s="429"/>
      <c r="R32" s="428"/>
      <c r="S32" s="429"/>
      <c r="T32" s="93"/>
    </row>
    <row r="33" spans="2:20" ht="16.5" thickTop="1" x14ac:dyDescent="0.25">
      <c r="B33" s="128"/>
      <c r="C33" s="65"/>
      <c r="D33" s="471"/>
      <c r="E33" s="472"/>
      <c r="F33" s="472"/>
      <c r="G33" s="472"/>
      <c r="H33" s="473"/>
      <c r="I33" s="65"/>
      <c r="J33" s="421" t="s">
        <v>116</v>
      </c>
      <c r="K33" s="421"/>
      <c r="L33" s="421"/>
      <c r="M33" s="421"/>
      <c r="N33" s="413">
        <f>SUM(N23:O29,N31:O32)</f>
        <v>0</v>
      </c>
      <c r="O33" s="414"/>
      <c r="P33" s="415">
        <f>SUM(P23:Q29,P31:Q32)</f>
        <v>0</v>
      </c>
      <c r="Q33" s="416"/>
      <c r="R33" s="415">
        <f>SUM(R23:S29,R31:S32)</f>
        <v>0</v>
      </c>
      <c r="S33" s="416"/>
      <c r="T33" s="93"/>
    </row>
    <row r="34" spans="2:20" ht="15" x14ac:dyDescent="0.2">
      <c r="B34" s="128"/>
      <c r="C34" s="65"/>
      <c r="D34" s="474"/>
      <c r="E34" s="475"/>
      <c r="F34" s="475"/>
      <c r="G34" s="475"/>
      <c r="H34" s="476"/>
      <c r="I34" s="65"/>
      <c r="J34" s="65"/>
      <c r="K34" s="65"/>
      <c r="L34" s="108"/>
      <c r="M34" s="108"/>
      <c r="N34" s="108"/>
      <c r="O34" s="108"/>
      <c r="P34" s="108"/>
      <c r="Q34" s="107"/>
      <c r="R34" s="107"/>
      <c r="S34" s="176"/>
      <c r="T34" s="93"/>
    </row>
    <row r="35" spans="2:20" ht="15" x14ac:dyDescent="0.2">
      <c r="B35" s="128"/>
      <c r="C35" s="65"/>
      <c r="D35" s="106"/>
      <c r="E35" s="65"/>
      <c r="F35" s="65"/>
      <c r="G35" s="65"/>
      <c r="H35" s="65"/>
      <c r="I35" s="65"/>
      <c r="J35" s="65"/>
      <c r="K35" s="103"/>
      <c r="L35" s="104"/>
      <c r="M35" s="65"/>
      <c r="N35" s="65"/>
      <c r="O35" s="65"/>
      <c r="P35" s="65"/>
      <c r="Q35" s="65"/>
      <c r="R35" s="65"/>
      <c r="S35" s="129"/>
      <c r="T35" s="93"/>
    </row>
    <row r="36" spans="2:20" ht="16.5" x14ac:dyDescent="0.2">
      <c r="B36" s="454" t="s">
        <v>85</v>
      </c>
      <c r="C36" s="455"/>
      <c r="D36" s="455"/>
      <c r="E36" s="455"/>
      <c r="F36" s="455"/>
      <c r="G36" s="455"/>
      <c r="H36" s="456"/>
      <c r="I36" s="65"/>
      <c r="J36" s="448" t="s">
        <v>204</v>
      </c>
      <c r="K36" s="449"/>
      <c r="L36" s="449"/>
      <c r="M36" s="449"/>
      <c r="N36" s="449"/>
      <c r="O36" s="449"/>
      <c r="P36" s="449"/>
      <c r="Q36" s="449"/>
      <c r="R36" s="449"/>
      <c r="S36" s="450"/>
      <c r="T36" s="93"/>
    </row>
    <row r="37" spans="2:20" ht="15" x14ac:dyDescent="0.2">
      <c r="B37" s="128"/>
      <c r="C37" s="65"/>
      <c r="D37" s="460"/>
      <c r="E37" s="469"/>
      <c r="F37" s="469"/>
      <c r="G37" s="469"/>
      <c r="H37" s="470"/>
      <c r="I37" s="65"/>
      <c r="J37" s="65"/>
      <c r="K37" s="65"/>
      <c r="L37" s="181"/>
      <c r="M37" s="181"/>
      <c r="N37" s="181"/>
      <c r="O37" s="181"/>
      <c r="P37" s="181"/>
      <c r="Q37" s="181"/>
      <c r="R37" s="181"/>
      <c r="S37" s="182"/>
      <c r="T37" s="93"/>
    </row>
    <row r="38" spans="2:20" ht="15.75" x14ac:dyDescent="0.25">
      <c r="B38" s="128"/>
      <c r="C38" s="65"/>
      <c r="D38" s="471"/>
      <c r="E38" s="472"/>
      <c r="F38" s="472"/>
      <c r="G38" s="472"/>
      <c r="H38" s="473"/>
      <c r="I38" s="65"/>
      <c r="J38" s="478" t="s">
        <v>214</v>
      </c>
      <c r="K38" s="478"/>
      <c r="L38" s="478"/>
      <c r="M38" s="478"/>
      <c r="N38" s="478"/>
      <c r="O38" s="478"/>
      <c r="P38" s="478" t="s">
        <v>215</v>
      </c>
      <c r="Q38" s="478"/>
      <c r="R38" s="478" t="s">
        <v>216</v>
      </c>
      <c r="S38" s="478"/>
      <c r="T38" s="93"/>
    </row>
    <row r="39" spans="2:20" ht="18" x14ac:dyDescent="0.25">
      <c r="B39" s="128"/>
      <c r="C39" s="65"/>
      <c r="D39" s="471"/>
      <c r="E39" s="472"/>
      <c r="F39" s="472"/>
      <c r="G39" s="472"/>
      <c r="H39" s="473"/>
      <c r="I39" s="65"/>
      <c r="J39" s="442"/>
      <c r="K39" s="443"/>
      <c r="L39" s="443"/>
      <c r="M39" s="443"/>
      <c r="N39" s="443"/>
      <c r="O39" s="444"/>
      <c r="P39" s="410"/>
      <c r="Q39" s="410"/>
      <c r="R39" s="410"/>
      <c r="S39" s="410"/>
      <c r="T39" s="92"/>
    </row>
    <row r="40" spans="2:20" ht="18" customHeight="1" x14ac:dyDescent="0.2">
      <c r="B40" s="128"/>
      <c r="C40" s="65"/>
      <c r="D40" s="471"/>
      <c r="E40" s="472"/>
      <c r="F40" s="472"/>
      <c r="G40" s="472"/>
      <c r="H40" s="473"/>
      <c r="I40" s="65"/>
      <c r="J40" s="445"/>
      <c r="K40" s="446"/>
      <c r="L40" s="446"/>
      <c r="M40" s="446"/>
      <c r="N40" s="446"/>
      <c r="O40" s="447"/>
      <c r="P40" s="410"/>
      <c r="Q40" s="410"/>
      <c r="R40" s="410"/>
      <c r="S40" s="410"/>
      <c r="T40" s="98"/>
    </row>
    <row r="41" spans="2:20" ht="18.75" customHeight="1" x14ac:dyDescent="0.2">
      <c r="B41" s="128"/>
      <c r="C41" s="65"/>
      <c r="D41" s="471"/>
      <c r="E41" s="472"/>
      <c r="F41" s="472"/>
      <c r="G41" s="472"/>
      <c r="H41" s="473"/>
      <c r="I41" s="65"/>
      <c r="J41" s="441"/>
      <c r="K41" s="441"/>
      <c r="L41" s="441"/>
      <c r="M41" s="441"/>
      <c r="N41" s="441"/>
      <c r="O41" s="441"/>
      <c r="P41" s="410"/>
      <c r="Q41" s="410"/>
      <c r="R41" s="410"/>
      <c r="S41" s="410"/>
      <c r="T41" s="98"/>
    </row>
    <row r="42" spans="2:20" ht="18.75" customHeight="1" x14ac:dyDescent="0.2">
      <c r="B42" s="128"/>
      <c r="C42" s="65"/>
      <c r="D42" s="474"/>
      <c r="E42" s="475"/>
      <c r="F42" s="475"/>
      <c r="G42" s="475"/>
      <c r="H42" s="476"/>
      <c r="I42" s="65"/>
      <c r="J42" s="441"/>
      <c r="K42" s="441"/>
      <c r="L42" s="441"/>
      <c r="M42" s="441"/>
      <c r="N42" s="441"/>
      <c r="O42" s="441"/>
      <c r="P42" s="410"/>
      <c r="Q42" s="410"/>
      <c r="R42" s="410"/>
      <c r="S42" s="410"/>
      <c r="T42" s="98"/>
    </row>
    <row r="43" spans="2:20" x14ac:dyDescent="0.2">
      <c r="B43" s="128"/>
      <c r="C43" s="65"/>
      <c r="D43" s="65"/>
      <c r="E43" s="65"/>
      <c r="F43" s="65"/>
      <c r="G43" s="65"/>
      <c r="H43" s="65"/>
      <c r="I43" s="65"/>
      <c r="J43" s="477"/>
      <c r="K43" s="477"/>
      <c r="L43" s="477"/>
      <c r="M43" s="477"/>
      <c r="N43" s="477"/>
      <c r="O43" s="477"/>
      <c r="P43" s="411"/>
      <c r="Q43" s="411"/>
      <c r="R43" s="411"/>
      <c r="S43" s="411"/>
      <c r="T43" s="99"/>
    </row>
    <row r="44" spans="2:20" ht="16.5" x14ac:dyDescent="0.2">
      <c r="B44" s="448" t="s">
        <v>117</v>
      </c>
      <c r="C44" s="449"/>
      <c r="D44" s="449"/>
      <c r="E44" s="449"/>
      <c r="F44" s="449"/>
      <c r="G44" s="449"/>
      <c r="H44" s="450"/>
      <c r="I44" s="65"/>
      <c r="J44" s="477"/>
      <c r="K44" s="477"/>
      <c r="L44" s="477"/>
      <c r="M44" s="477"/>
      <c r="N44" s="477"/>
      <c r="O44" s="477"/>
      <c r="P44" s="411"/>
      <c r="Q44" s="411"/>
      <c r="R44" s="411"/>
      <c r="S44" s="411"/>
      <c r="T44" s="99"/>
    </row>
    <row r="45" spans="2:20" x14ac:dyDescent="0.2">
      <c r="B45" s="128"/>
      <c r="C45" s="103" t="s">
        <v>118</v>
      </c>
      <c r="D45" s="104"/>
      <c r="E45" s="65"/>
      <c r="F45" s="65"/>
      <c r="G45" s="65"/>
      <c r="H45" s="65"/>
      <c r="I45" s="65"/>
      <c r="J45" s="477"/>
      <c r="K45" s="477"/>
      <c r="L45" s="477"/>
      <c r="M45" s="477"/>
      <c r="N45" s="477"/>
      <c r="O45" s="477"/>
      <c r="P45" s="411"/>
      <c r="Q45" s="411"/>
      <c r="R45" s="411"/>
      <c r="S45" s="411"/>
      <c r="T45" s="99"/>
    </row>
    <row r="46" spans="2:20" x14ac:dyDescent="0.2">
      <c r="B46" s="128"/>
      <c r="C46" s="65"/>
      <c r="D46" s="460"/>
      <c r="E46" s="469"/>
      <c r="F46" s="469"/>
      <c r="G46" s="469"/>
      <c r="H46" s="470"/>
      <c r="I46" s="65"/>
      <c r="J46" s="441"/>
      <c r="K46" s="441"/>
      <c r="L46" s="441"/>
      <c r="M46" s="441"/>
      <c r="N46" s="441"/>
      <c r="O46" s="441"/>
      <c r="P46" s="412"/>
      <c r="Q46" s="412"/>
      <c r="R46" s="412"/>
      <c r="S46" s="412"/>
      <c r="T46" s="99"/>
    </row>
    <row r="47" spans="2:20" x14ac:dyDescent="0.2">
      <c r="B47" s="128"/>
      <c r="C47" s="65"/>
      <c r="D47" s="471"/>
      <c r="E47" s="472"/>
      <c r="F47" s="472"/>
      <c r="G47" s="472"/>
      <c r="H47" s="473"/>
      <c r="I47" s="65"/>
      <c r="J47" s="441"/>
      <c r="K47" s="441"/>
      <c r="L47" s="441"/>
      <c r="M47" s="441"/>
      <c r="N47" s="441"/>
      <c r="O47" s="441"/>
      <c r="P47" s="412"/>
      <c r="Q47" s="412"/>
      <c r="R47" s="412"/>
      <c r="S47" s="412"/>
      <c r="T47" s="99"/>
    </row>
    <row r="48" spans="2:20" x14ac:dyDescent="0.2">
      <c r="B48" s="128"/>
      <c r="C48" s="65"/>
      <c r="D48" s="474"/>
      <c r="E48" s="475"/>
      <c r="F48" s="475"/>
      <c r="G48" s="475"/>
      <c r="H48" s="476"/>
      <c r="I48" s="65"/>
      <c r="J48" s="441"/>
      <c r="K48" s="441"/>
      <c r="L48" s="441"/>
      <c r="M48" s="441"/>
      <c r="N48" s="441"/>
      <c r="O48" s="441"/>
      <c r="P48" s="412"/>
      <c r="Q48" s="412"/>
      <c r="R48" s="412"/>
      <c r="S48" s="412"/>
      <c r="T48" s="99"/>
    </row>
    <row r="49" spans="2:20" x14ac:dyDescent="0.2">
      <c r="B49" s="128"/>
      <c r="C49" s="65"/>
      <c r="D49" s="65"/>
      <c r="E49" s="65"/>
      <c r="F49" s="65"/>
      <c r="G49" s="65"/>
      <c r="H49" s="65"/>
      <c r="I49" s="65"/>
      <c r="J49" s="441"/>
      <c r="K49" s="441"/>
      <c r="L49" s="441"/>
      <c r="M49" s="441"/>
      <c r="N49" s="441"/>
      <c r="O49" s="441"/>
      <c r="P49" s="412"/>
      <c r="Q49" s="412"/>
      <c r="R49" s="412"/>
      <c r="S49" s="412"/>
      <c r="T49" s="99"/>
    </row>
    <row r="50" spans="2:20" ht="16.5" customHeight="1" x14ac:dyDescent="0.2">
      <c r="B50" s="128"/>
      <c r="C50" s="103" t="s">
        <v>120</v>
      </c>
      <c r="D50" s="104"/>
      <c r="E50" s="65"/>
      <c r="F50" s="65"/>
      <c r="G50" s="65"/>
      <c r="H50" s="65"/>
      <c r="I50" s="65"/>
      <c r="J50" s="442"/>
      <c r="K50" s="443"/>
      <c r="L50" s="443"/>
      <c r="M50" s="443"/>
      <c r="N50" s="443"/>
      <c r="O50" s="444"/>
      <c r="P50" s="412"/>
      <c r="Q50" s="412"/>
      <c r="R50" s="412"/>
      <c r="S50" s="412"/>
    </row>
    <row r="51" spans="2:20" x14ac:dyDescent="0.2">
      <c r="B51" s="128"/>
      <c r="C51" s="65"/>
      <c r="D51" s="460"/>
      <c r="E51" s="461"/>
      <c r="F51" s="461"/>
      <c r="G51" s="461"/>
      <c r="H51" s="462"/>
      <c r="I51" s="65"/>
      <c r="J51" s="445"/>
      <c r="K51" s="446"/>
      <c r="L51" s="446"/>
      <c r="M51" s="446"/>
      <c r="N51" s="446"/>
      <c r="O51" s="447"/>
      <c r="P51" s="412"/>
      <c r="Q51" s="412"/>
      <c r="R51" s="412"/>
      <c r="S51" s="412"/>
      <c r="T51" s="37"/>
    </row>
    <row r="52" spans="2:20" x14ac:dyDescent="0.2">
      <c r="B52" s="128"/>
      <c r="C52" s="65"/>
      <c r="D52" s="463"/>
      <c r="E52" s="464"/>
      <c r="F52" s="464"/>
      <c r="G52" s="464"/>
      <c r="H52" s="465"/>
      <c r="I52" s="65"/>
      <c r="J52" s="65"/>
      <c r="K52" s="172"/>
      <c r="L52" s="172"/>
      <c r="M52" s="172"/>
      <c r="N52" s="172"/>
      <c r="O52" s="172"/>
      <c r="P52" s="172"/>
      <c r="Q52" s="172"/>
      <c r="R52" s="172"/>
      <c r="S52" s="177"/>
    </row>
    <row r="53" spans="2:20" ht="15" customHeight="1" x14ac:dyDescent="0.3">
      <c r="B53" s="128"/>
      <c r="C53" s="65"/>
      <c r="D53" s="466"/>
      <c r="E53" s="467"/>
      <c r="F53" s="467"/>
      <c r="G53" s="467"/>
      <c r="H53" s="468"/>
      <c r="I53" s="65"/>
      <c r="J53" s="65"/>
      <c r="K53" s="65"/>
      <c r="L53" s="103"/>
      <c r="M53" s="65"/>
      <c r="N53" s="65"/>
      <c r="O53" s="440" t="s">
        <v>212</v>
      </c>
      <c r="P53" s="440"/>
      <c r="Q53" s="440"/>
      <c r="R53" s="174" t="s">
        <v>213</v>
      </c>
      <c r="S53" s="173"/>
    </row>
    <row r="54" spans="2:20" ht="15" customHeight="1" x14ac:dyDescent="0.2">
      <c r="B54" s="128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129"/>
      <c r="T54" s="93"/>
    </row>
    <row r="55" spans="2:20" ht="18" customHeight="1" x14ac:dyDescent="0.2">
      <c r="B55" s="448" t="s">
        <v>121</v>
      </c>
      <c r="C55" s="449"/>
      <c r="D55" s="449"/>
      <c r="E55" s="449"/>
      <c r="F55" s="449"/>
      <c r="G55" s="449"/>
      <c r="H55" s="450"/>
      <c r="I55" s="65"/>
      <c r="J55" s="448" t="s">
        <v>122</v>
      </c>
      <c r="K55" s="449"/>
      <c r="L55" s="449"/>
      <c r="M55" s="449"/>
      <c r="N55" s="449"/>
      <c r="O55" s="449"/>
      <c r="P55" s="449"/>
      <c r="Q55" s="449"/>
      <c r="R55" s="449"/>
      <c r="S55" s="450"/>
      <c r="T55" s="93"/>
    </row>
    <row r="56" spans="2:20" ht="15" customHeight="1" x14ac:dyDescent="0.2">
      <c r="B56" s="128"/>
      <c r="C56" s="151"/>
      <c r="D56" s="179" t="s">
        <v>217</v>
      </c>
      <c r="E56" s="179" t="s">
        <v>123</v>
      </c>
      <c r="F56" s="179" t="s">
        <v>124</v>
      </c>
      <c r="G56" s="179" t="s">
        <v>218</v>
      </c>
      <c r="H56" s="179" t="s">
        <v>125</v>
      </c>
      <c r="I56" s="65"/>
      <c r="J56" s="65"/>
      <c r="K56" s="434" t="str">
        <f>D10</f>
        <v>Champion / Sponsor</v>
      </c>
      <c r="L56" s="435"/>
      <c r="M56" s="436"/>
      <c r="N56" s="434"/>
      <c r="O56" s="436"/>
      <c r="P56" s="437"/>
      <c r="Q56" s="438"/>
      <c r="R56" s="438"/>
      <c r="S56" s="439"/>
      <c r="T56" s="93"/>
    </row>
    <row r="57" spans="2:20" ht="15" customHeight="1" x14ac:dyDescent="0.2">
      <c r="B57" s="128"/>
      <c r="C57" s="180">
        <v>1</v>
      </c>
      <c r="D57" s="100"/>
      <c r="E57" s="155"/>
      <c r="F57" s="101"/>
      <c r="G57" s="101"/>
      <c r="H57" s="101"/>
      <c r="I57" s="65"/>
      <c r="J57" s="65"/>
      <c r="K57" s="434" t="str">
        <f>D11</f>
        <v>Dueño del Proceso</v>
      </c>
      <c r="L57" s="435"/>
      <c r="M57" s="436"/>
      <c r="N57" s="434"/>
      <c r="O57" s="436"/>
      <c r="P57" s="437"/>
      <c r="Q57" s="438"/>
      <c r="R57" s="438"/>
      <c r="S57" s="439"/>
    </row>
    <row r="58" spans="2:20" ht="15" customHeight="1" x14ac:dyDescent="0.2">
      <c r="B58" s="128"/>
      <c r="C58" s="180">
        <v>2</v>
      </c>
      <c r="D58" s="100"/>
      <c r="E58" s="155"/>
      <c r="F58" s="155"/>
      <c r="G58" s="155"/>
      <c r="H58" s="155"/>
      <c r="I58" s="65"/>
      <c r="J58" s="65"/>
      <c r="K58" s="434" t="str">
        <f>D12</f>
        <v>Finanzas</v>
      </c>
      <c r="L58" s="435"/>
      <c r="M58" s="436"/>
      <c r="N58" s="434"/>
      <c r="O58" s="436"/>
      <c r="P58" s="437"/>
      <c r="Q58" s="438"/>
      <c r="R58" s="438"/>
      <c r="S58" s="439"/>
    </row>
    <row r="59" spans="2:20" ht="15" customHeight="1" x14ac:dyDescent="0.2">
      <c r="B59" s="128"/>
      <c r="C59" s="180">
        <v>3</v>
      </c>
      <c r="D59" s="100" t="s">
        <v>119</v>
      </c>
      <c r="E59" s="155"/>
      <c r="F59" s="155"/>
      <c r="G59" s="155"/>
      <c r="H59" s="155"/>
      <c r="I59" s="65"/>
      <c r="J59" s="65"/>
      <c r="K59" s="434" t="str">
        <f>D13</f>
        <v>Mentor (MBB-BB)</v>
      </c>
      <c r="L59" s="435"/>
      <c r="M59" s="436"/>
      <c r="N59" s="434"/>
      <c r="O59" s="436"/>
      <c r="P59" s="437"/>
      <c r="Q59" s="438"/>
      <c r="R59" s="438"/>
      <c r="S59" s="439"/>
      <c r="T59" s="93"/>
    </row>
    <row r="60" spans="2:20" ht="15" customHeight="1" x14ac:dyDescent="0.2">
      <c r="B60" s="128"/>
      <c r="C60" s="180">
        <v>4</v>
      </c>
      <c r="D60" s="100" t="s">
        <v>119</v>
      </c>
      <c r="E60" s="155"/>
      <c r="F60" s="155"/>
      <c r="G60" s="155"/>
      <c r="H60" s="155"/>
      <c r="I60" s="65"/>
      <c r="J60" s="65"/>
      <c r="K60" s="434" t="str">
        <f>D14</f>
        <v>Facilitador (GB-BB)</v>
      </c>
      <c r="L60" s="435"/>
      <c r="M60" s="436"/>
      <c r="N60" s="434"/>
      <c r="O60" s="436"/>
      <c r="P60" s="437"/>
      <c r="Q60" s="438"/>
      <c r="R60" s="438"/>
      <c r="S60" s="439"/>
      <c r="T60" s="93"/>
    </row>
    <row r="61" spans="2:20" ht="15" x14ac:dyDescent="0.2">
      <c r="B61" s="128"/>
      <c r="C61" s="180">
        <v>5</v>
      </c>
      <c r="D61" s="100" t="s">
        <v>119</v>
      </c>
      <c r="E61" s="155"/>
      <c r="F61" s="155"/>
      <c r="G61" s="155"/>
      <c r="H61" s="155"/>
      <c r="I61" s="65"/>
      <c r="J61" s="65"/>
      <c r="K61" s="434"/>
      <c r="L61" s="435"/>
      <c r="M61" s="436"/>
      <c r="N61" s="434"/>
      <c r="O61" s="436"/>
      <c r="P61" s="437"/>
      <c r="Q61" s="438"/>
      <c r="R61" s="438"/>
      <c r="S61" s="439"/>
      <c r="T61" s="93"/>
    </row>
    <row r="62" spans="2:20" ht="15" x14ac:dyDescent="0.2">
      <c r="B62" s="128"/>
      <c r="C62" s="180">
        <v>6</v>
      </c>
      <c r="D62" s="100" t="s">
        <v>119</v>
      </c>
      <c r="E62" s="155"/>
      <c r="F62" s="155"/>
      <c r="G62" s="155"/>
      <c r="H62" s="155"/>
      <c r="I62" s="65"/>
      <c r="J62" s="65"/>
      <c r="K62" s="434"/>
      <c r="L62" s="435"/>
      <c r="M62" s="436"/>
      <c r="N62" s="434"/>
      <c r="O62" s="436"/>
      <c r="P62" s="437"/>
      <c r="Q62" s="438"/>
      <c r="R62" s="438"/>
      <c r="S62" s="439"/>
    </row>
    <row r="63" spans="2:20" ht="15" x14ac:dyDescent="0.2">
      <c r="B63" s="128"/>
      <c r="C63" s="180">
        <v>7</v>
      </c>
      <c r="D63" s="100" t="s">
        <v>119</v>
      </c>
      <c r="E63" s="155"/>
      <c r="F63" s="155"/>
      <c r="G63" s="155"/>
      <c r="H63" s="155"/>
      <c r="I63" s="65"/>
      <c r="J63" s="65"/>
      <c r="K63" s="434"/>
      <c r="L63" s="435"/>
      <c r="M63" s="436"/>
      <c r="N63" s="434"/>
      <c r="O63" s="436"/>
      <c r="P63" s="437"/>
      <c r="Q63" s="438"/>
      <c r="R63" s="438"/>
      <c r="S63" s="439"/>
    </row>
    <row r="64" spans="2:20" ht="15" customHeight="1" x14ac:dyDescent="0.2">
      <c r="B64" s="128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129"/>
    </row>
    <row r="65" spans="2:19" ht="18" customHeight="1" x14ac:dyDescent="0.2">
      <c r="B65" s="448" t="s">
        <v>126</v>
      </c>
      <c r="C65" s="449"/>
      <c r="D65" s="449"/>
      <c r="E65" s="449"/>
      <c r="F65" s="449"/>
      <c r="G65" s="449"/>
      <c r="H65" s="450"/>
      <c r="I65" s="65"/>
      <c r="J65" s="448" t="s">
        <v>127</v>
      </c>
      <c r="K65" s="449"/>
      <c r="L65" s="449"/>
      <c r="M65" s="449"/>
      <c r="N65" s="449"/>
      <c r="O65" s="449"/>
      <c r="P65" s="449"/>
      <c r="Q65" s="449"/>
      <c r="R65" s="449"/>
      <c r="S65" s="450"/>
    </row>
    <row r="66" spans="2:19" ht="15" customHeight="1" x14ac:dyDescent="0.2">
      <c r="B66" s="128"/>
      <c r="C66" s="151"/>
      <c r="D66" s="179" t="s">
        <v>217</v>
      </c>
      <c r="E66" s="179" t="s">
        <v>219</v>
      </c>
      <c r="F66" s="179" t="s">
        <v>124</v>
      </c>
      <c r="G66" s="179" t="s">
        <v>220</v>
      </c>
      <c r="H66" s="179" t="s">
        <v>125</v>
      </c>
      <c r="I66" s="65"/>
      <c r="J66" s="65"/>
      <c r="K66" s="434" t="str">
        <f>D10</f>
        <v>Champion / Sponsor</v>
      </c>
      <c r="L66" s="435"/>
      <c r="M66" s="436"/>
      <c r="N66" s="434"/>
      <c r="O66" s="436"/>
      <c r="P66" s="437"/>
      <c r="Q66" s="438"/>
      <c r="R66" s="438"/>
      <c r="S66" s="439"/>
    </row>
    <row r="67" spans="2:19" ht="15" customHeight="1" x14ac:dyDescent="0.2">
      <c r="B67" s="128"/>
      <c r="C67" s="180">
        <v>1</v>
      </c>
      <c r="D67" s="102"/>
      <c r="E67" s="155"/>
      <c r="F67" s="101"/>
      <c r="G67" s="101"/>
      <c r="H67" s="101"/>
      <c r="I67" s="65"/>
      <c r="J67" s="65"/>
      <c r="K67" s="434" t="str">
        <f>D11</f>
        <v>Dueño del Proceso</v>
      </c>
      <c r="L67" s="435"/>
      <c r="M67" s="436"/>
      <c r="N67" s="434"/>
      <c r="O67" s="436"/>
      <c r="P67" s="437"/>
      <c r="Q67" s="438"/>
      <c r="R67" s="438"/>
      <c r="S67" s="439"/>
    </row>
    <row r="68" spans="2:19" ht="15" customHeight="1" x14ac:dyDescent="0.2">
      <c r="B68" s="128"/>
      <c r="C68" s="180">
        <v>2</v>
      </c>
      <c r="D68" s="102"/>
      <c r="E68" s="155"/>
      <c r="F68" s="155"/>
      <c r="G68" s="155"/>
      <c r="H68" s="155"/>
      <c r="I68" s="65"/>
      <c r="J68" s="65"/>
      <c r="K68" s="434" t="str">
        <f>D12</f>
        <v>Finanzas</v>
      </c>
      <c r="L68" s="435"/>
      <c r="M68" s="436"/>
      <c r="N68" s="434"/>
      <c r="O68" s="436"/>
      <c r="P68" s="437"/>
      <c r="Q68" s="438"/>
      <c r="R68" s="438"/>
      <c r="S68" s="439"/>
    </row>
    <row r="69" spans="2:19" ht="15" customHeight="1" x14ac:dyDescent="0.2">
      <c r="B69" s="128"/>
      <c r="C69" s="180">
        <v>3</v>
      </c>
      <c r="D69" s="102" t="str">
        <f t="shared" ref="D69:D73" si="0">D59</f>
        <v xml:space="preserve"> </v>
      </c>
      <c r="E69" s="155"/>
      <c r="F69" s="155"/>
      <c r="G69" s="155"/>
      <c r="H69" s="155"/>
      <c r="I69" s="65"/>
      <c r="J69" s="65"/>
      <c r="K69" s="434" t="str">
        <f>D13</f>
        <v>Mentor (MBB-BB)</v>
      </c>
      <c r="L69" s="435"/>
      <c r="M69" s="436"/>
      <c r="N69" s="434"/>
      <c r="O69" s="436"/>
      <c r="P69" s="437"/>
      <c r="Q69" s="438"/>
      <c r="R69" s="438"/>
      <c r="S69" s="439"/>
    </row>
    <row r="70" spans="2:19" ht="15" customHeight="1" x14ac:dyDescent="0.2">
      <c r="B70" s="128"/>
      <c r="C70" s="180">
        <v>4</v>
      </c>
      <c r="D70" s="102" t="str">
        <f t="shared" si="0"/>
        <v xml:space="preserve"> </v>
      </c>
      <c r="E70" s="155"/>
      <c r="F70" s="155"/>
      <c r="G70" s="155"/>
      <c r="H70" s="155"/>
      <c r="I70" s="65"/>
      <c r="J70" s="65"/>
      <c r="K70" s="434" t="str">
        <f>D14</f>
        <v>Facilitador (GB-BB)</v>
      </c>
      <c r="L70" s="435"/>
      <c r="M70" s="436"/>
      <c r="N70" s="434"/>
      <c r="O70" s="436"/>
      <c r="P70" s="437"/>
      <c r="Q70" s="438"/>
      <c r="R70" s="438"/>
      <c r="S70" s="439"/>
    </row>
    <row r="71" spans="2:19" ht="15" customHeight="1" x14ac:dyDescent="0.2">
      <c r="B71" s="128"/>
      <c r="C71" s="180">
        <v>5</v>
      </c>
      <c r="D71" s="102" t="str">
        <f t="shared" si="0"/>
        <v xml:space="preserve"> </v>
      </c>
      <c r="E71" s="155"/>
      <c r="F71" s="155"/>
      <c r="G71" s="155"/>
      <c r="H71" s="155"/>
      <c r="I71" s="65"/>
      <c r="J71" s="65"/>
      <c r="K71" s="434"/>
      <c r="L71" s="435"/>
      <c r="M71" s="436"/>
      <c r="N71" s="434"/>
      <c r="O71" s="436"/>
      <c r="P71" s="437"/>
      <c r="Q71" s="438"/>
      <c r="R71" s="438"/>
      <c r="S71" s="439"/>
    </row>
    <row r="72" spans="2:19" ht="15" customHeight="1" x14ac:dyDescent="0.2">
      <c r="B72" s="128"/>
      <c r="C72" s="180">
        <v>6</v>
      </c>
      <c r="D72" s="102" t="str">
        <f t="shared" si="0"/>
        <v xml:space="preserve"> </v>
      </c>
      <c r="E72" s="155"/>
      <c r="F72" s="155"/>
      <c r="G72" s="155"/>
      <c r="H72" s="155"/>
      <c r="I72" s="65"/>
      <c r="J72" s="65"/>
      <c r="K72" s="434"/>
      <c r="L72" s="435"/>
      <c r="M72" s="436"/>
      <c r="N72" s="434"/>
      <c r="O72" s="436"/>
      <c r="P72" s="437"/>
      <c r="Q72" s="438"/>
      <c r="R72" s="438"/>
      <c r="S72" s="439"/>
    </row>
    <row r="73" spans="2:19" ht="15" customHeight="1" x14ac:dyDescent="0.2">
      <c r="B73" s="128"/>
      <c r="C73" s="180">
        <v>7</v>
      </c>
      <c r="D73" s="102" t="str">
        <f t="shared" si="0"/>
        <v xml:space="preserve"> </v>
      </c>
      <c r="E73" s="155"/>
      <c r="F73" s="155"/>
      <c r="G73" s="155"/>
      <c r="H73" s="155"/>
      <c r="I73" s="65"/>
      <c r="J73" s="65"/>
      <c r="K73" s="434"/>
      <c r="L73" s="435"/>
      <c r="M73" s="436"/>
      <c r="N73" s="434"/>
      <c r="O73" s="436"/>
      <c r="P73" s="437"/>
      <c r="Q73" s="438"/>
      <c r="R73" s="438"/>
      <c r="S73" s="439"/>
    </row>
    <row r="74" spans="2:19" x14ac:dyDescent="0.2">
      <c r="B74" s="178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4"/>
    </row>
  </sheetData>
  <sheetProtection selectLockedCells="1"/>
  <mergeCells count="146">
    <mergeCell ref="P68:S68"/>
    <mergeCell ref="P69:S69"/>
    <mergeCell ref="P70:S70"/>
    <mergeCell ref="P71:S71"/>
    <mergeCell ref="P72:S72"/>
    <mergeCell ref="P73:S73"/>
    <mergeCell ref="B2:S2"/>
    <mergeCell ref="B5:H5"/>
    <mergeCell ref="J5:S5"/>
    <mergeCell ref="D6:H7"/>
    <mergeCell ref="B9:H9"/>
    <mergeCell ref="N56:O56"/>
    <mergeCell ref="N57:O57"/>
    <mergeCell ref="N58:O58"/>
    <mergeCell ref="P56:S56"/>
    <mergeCell ref="P57:S57"/>
    <mergeCell ref="P58:S58"/>
    <mergeCell ref="E10:H10"/>
    <mergeCell ref="E11:H11"/>
    <mergeCell ref="E14:H14"/>
    <mergeCell ref="B28:H28"/>
    <mergeCell ref="D29:H34"/>
    <mergeCell ref="D21:H26"/>
    <mergeCell ref="L21:M21"/>
    <mergeCell ref="N21:O21"/>
    <mergeCell ref="P21:Q21"/>
    <mergeCell ref="R21:S21"/>
    <mergeCell ref="B20:H20"/>
    <mergeCell ref="E17:H17"/>
    <mergeCell ref="E18:H18"/>
    <mergeCell ref="D51:H53"/>
    <mergeCell ref="B55:H55"/>
    <mergeCell ref="J55:S55"/>
    <mergeCell ref="D46:H48"/>
    <mergeCell ref="J43:O45"/>
    <mergeCell ref="B36:H36"/>
    <mergeCell ref="D37:H42"/>
    <mergeCell ref="J36:S36"/>
    <mergeCell ref="B44:H44"/>
    <mergeCell ref="J38:O38"/>
    <mergeCell ref="P38:Q38"/>
    <mergeCell ref="R38:S38"/>
    <mergeCell ref="J39:O40"/>
    <mergeCell ref="J41:O42"/>
    <mergeCell ref="P39:Q40"/>
    <mergeCell ref="N24:O24"/>
    <mergeCell ref="P24:Q24"/>
    <mergeCell ref="R24:S24"/>
    <mergeCell ref="K70:M70"/>
    <mergeCell ref="K71:M71"/>
    <mergeCell ref="K72:M72"/>
    <mergeCell ref="K73:M73"/>
    <mergeCell ref="K62:M62"/>
    <mergeCell ref="K63:M63"/>
    <mergeCell ref="B65:H65"/>
    <mergeCell ref="J65:S65"/>
    <mergeCell ref="K66:M66"/>
    <mergeCell ref="K67:M67"/>
    <mergeCell ref="N62:O62"/>
    <mergeCell ref="N63:O63"/>
    <mergeCell ref="N66:O66"/>
    <mergeCell ref="N67:O67"/>
    <mergeCell ref="N68:O68"/>
    <mergeCell ref="N69:O69"/>
    <mergeCell ref="N70:O70"/>
    <mergeCell ref="N71:O71"/>
    <mergeCell ref="N72:O72"/>
    <mergeCell ref="N73:O73"/>
    <mergeCell ref="P62:S62"/>
    <mergeCell ref="P63:S63"/>
    <mergeCell ref="P66:S66"/>
    <mergeCell ref="P67:S67"/>
    <mergeCell ref="J7:S11"/>
    <mergeCell ref="N22:O22"/>
    <mergeCell ref="P22:Q22"/>
    <mergeCell ref="R22:S22"/>
    <mergeCell ref="N23:O23"/>
    <mergeCell ref="P23:Q23"/>
    <mergeCell ref="R23:S23"/>
    <mergeCell ref="K68:M68"/>
    <mergeCell ref="K69:M69"/>
    <mergeCell ref="K56:M56"/>
    <mergeCell ref="K57:M57"/>
    <mergeCell ref="K58:M58"/>
    <mergeCell ref="K59:M59"/>
    <mergeCell ref="K60:M60"/>
    <mergeCell ref="K61:M61"/>
    <mergeCell ref="N59:O59"/>
    <mergeCell ref="N60:O60"/>
    <mergeCell ref="N61:O61"/>
    <mergeCell ref="P59:S59"/>
    <mergeCell ref="P60:S60"/>
    <mergeCell ref="P61:S61"/>
    <mergeCell ref="O53:Q53"/>
    <mergeCell ref="J46:O49"/>
    <mergeCell ref="J50:O51"/>
    <mergeCell ref="N25:O25"/>
    <mergeCell ref="P25:Q25"/>
    <mergeCell ref="R25:S25"/>
    <mergeCell ref="N26:O26"/>
    <mergeCell ref="P26:Q26"/>
    <mergeCell ref="R26:S26"/>
    <mergeCell ref="P32:Q32"/>
    <mergeCell ref="R32:S32"/>
    <mergeCell ref="N27:O27"/>
    <mergeCell ref="P27:Q27"/>
    <mergeCell ref="R27:S27"/>
    <mergeCell ref="N28:O28"/>
    <mergeCell ref="P28:Q28"/>
    <mergeCell ref="R28:S28"/>
    <mergeCell ref="N29:O29"/>
    <mergeCell ref="P29:Q29"/>
    <mergeCell ref="R29:S29"/>
    <mergeCell ref="N33:O33"/>
    <mergeCell ref="P33:Q33"/>
    <mergeCell ref="R33:S33"/>
    <mergeCell ref="J13:S13"/>
    <mergeCell ref="J14:S20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N30:O30"/>
    <mergeCell ref="P30:Q30"/>
    <mergeCell ref="R30:S30"/>
    <mergeCell ref="N31:O31"/>
    <mergeCell ref="P31:Q31"/>
    <mergeCell ref="R31:S31"/>
    <mergeCell ref="N32:O32"/>
    <mergeCell ref="P41:Q42"/>
    <mergeCell ref="P43:Q45"/>
    <mergeCell ref="P46:Q49"/>
    <mergeCell ref="P50:Q51"/>
    <mergeCell ref="R39:S40"/>
    <mergeCell ref="R41:S42"/>
    <mergeCell ref="R43:S45"/>
    <mergeCell ref="R46:S49"/>
    <mergeCell ref="R50:S51"/>
  </mergeCells>
  <dataValidations count="1">
    <dataValidation type="list" allowBlank="1" showInputMessage="1" showErrorMessage="1" sqref="E57:E63 E67:E73" xr:uid="{FA4EC84A-1EE5-4CA3-AE5A-49E8431BFDAD}">
      <formula1>"Yes,No"</formula1>
    </dataValidation>
  </dataValidations>
  <printOptions horizontalCentered="1"/>
  <pageMargins left="0" right="0" top="0.5" bottom="0" header="0.25" footer="0.25"/>
  <pageSetup scale="61" orientation="portrait" r:id="rId1"/>
  <headerFooter alignWithMargins="0">
    <oddFooter>&amp;LPersonal Academy&amp;R&amp;G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8CAE-5CC8-4944-B1A4-FE3A758AB0D2}">
  <dimension ref="B2:P64"/>
  <sheetViews>
    <sheetView showGridLines="0" zoomScale="60" zoomScaleNormal="60" workbookViewId="0">
      <selection activeCell="B4" sqref="B4:C4"/>
    </sheetView>
  </sheetViews>
  <sheetFormatPr baseColWidth="10" defaultRowHeight="15" x14ac:dyDescent="0.25"/>
  <cols>
    <col min="1" max="1" width="3.85546875" customWidth="1"/>
    <col min="2" max="2" width="19" customWidth="1"/>
    <col min="4" max="4" width="12.140625" customWidth="1"/>
    <col min="5" max="5" width="1.7109375" customWidth="1"/>
    <col min="6" max="6" width="10.5703125" customWidth="1"/>
    <col min="7" max="7" width="12.85546875" customWidth="1"/>
    <col min="8" max="8" width="19.42578125" customWidth="1"/>
    <col min="9" max="9" width="1.7109375" customWidth="1"/>
    <col min="10" max="10" width="13.42578125" customWidth="1"/>
    <col min="11" max="11" width="18.42578125" customWidth="1"/>
    <col min="12" max="12" width="12.140625" customWidth="1"/>
    <col min="13" max="13" width="1.5703125" customWidth="1"/>
    <col min="14" max="14" width="18.140625" customWidth="1"/>
    <col min="15" max="15" width="12.7109375" customWidth="1"/>
    <col min="16" max="16" width="16.7109375" customWidth="1"/>
  </cols>
  <sheetData>
    <row r="2" spans="2:16" ht="23.25" x14ac:dyDescent="0.35">
      <c r="B2" s="538" t="s">
        <v>128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</row>
    <row r="3" spans="2:16" ht="6.75" customHeight="1" x14ac:dyDescent="0.25">
      <c r="B3" s="10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10"/>
    </row>
    <row r="4" spans="2:16" ht="15.75" customHeight="1" x14ac:dyDescent="0.25">
      <c r="B4" s="486" t="s">
        <v>129</v>
      </c>
      <c r="C4" s="486"/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</row>
    <row r="5" spans="2:16" ht="6" customHeight="1" x14ac:dyDescent="0.25">
      <c r="B5" s="10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10"/>
    </row>
    <row r="6" spans="2:16" x14ac:dyDescent="0.25">
      <c r="B6" s="486" t="s">
        <v>130</v>
      </c>
      <c r="C6" s="486"/>
      <c r="D6" s="486"/>
      <c r="E6" s="486"/>
      <c r="F6" s="486"/>
      <c r="G6" s="486"/>
      <c r="H6" s="486"/>
      <c r="I6" s="1"/>
      <c r="J6" s="486" t="s">
        <v>131</v>
      </c>
      <c r="K6" s="486"/>
      <c r="L6" s="486"/>
      <c r="M6" s="486"/>
      <c r="N6" s="486"/>
      <c r="O6" s="486"/>
      <c r="P6" s="486"/>
    </row>
    <row r="7" spans="2:16" ht="15" customHeight="1" x14ac:dyDescent="0.25">
      <c r="B7" s="518"/>
      <c r="C7" s="518"/>
      <c r="D7" s="518"/>
      <c r="E7" s="518"/>
      <c r="F7" s="518"/>
      <c r="G7" s="518"/>
      <c r="H7" s="518"/>
      <c r="I7" s="1"/>
      <c r="J7" s="519"/>
      <c r="K7" s="519"/>
      <c r="L7" s="519"/>
      <c r="M7" s="519"/>
      <c r="N7" s="519"/>
      <c r="O7" s="519"/>
      <c r="P7" s="519"/>
    </row>
    <row r="8" spans="2:16" x14ac:dyDescent="0.25">
      <c r="B8" s="518"/>
      <c r="C8" s="518"/>
      <c r="D8" s="518"/>
      <c r="E8" s="518"/>
      <c r="F8" s="518"/>
      <c r="G8" s="518"/>
      <c r="H8" s="518"/>
      <c r="I8" s="1"/>
      <c r="J8" s="519"/>
      <c r="K8" s="519"/>
      <c r="L8" s="519"/>
      <c r="M8" s="519"/>
      <c r="N8" s="519"/>
      <c r="O8" s="519"/>
      <c r="P8" s="519"/>
    </row>
    <row r="9" spans="2:16" ht="6.75" customHeight="1" x14ac:dyDescent="0.25">
      <c r="B9" s="518"/>
      <c r="C9" s="518"/>
      <c r="D9" s="518"/>
      <c r="E9" s="518"/>
      <c r="F9" s="518"/>
      <c r="G9" s="518"/>
      <c r="H9" s="518"/>
      <c r="I9" s="1"/>
      <c r="J9" s="1"/>
      <c r="K9" s="1"/>
      <c r="L9" s="1"/>
      <c r="M9" s="1"/>
      <c r="N9" s="1"/>
      <c r="O9" s="1"/>
      <c r="P9" s="110"/>
    </row>
    <row r="10" spans="2:16" x14ac:dyDescent="0.25">
      <c r="B10" s="518"/>
      <c r="C10" s="518"/>
      <c r="D10" s="518"/>
      <c r="E10" s="518"/>
      <c r="F10" s="518"/>
      <c r="G10" s="518"/>
      <c r="H10" s="518"/>
      <c r="I10" s="1"/>
      <c r="J10" s="486" t="s">
        <v>132</v>
      </c>
      <c r="K10" s="486"/>
      <c r="L10" s="486"/>
      <c r="M10" s="1"/>
      <c r="N10" s="486" t="s">
        <v>133</v>
      </c>
      <c r="O10" s="486"/>
      <c r="P10" s="486"/>
    </row>
    <row r="11" spans="2:16" ht="12.75" customHeight="1" x14ac:dyDescent="0.25">
      <c r="B11" s="518"/>
      <c r="C11" s="518"/>
      <c r="D11" s="518"/>
      <c r="E11" s="518"/>
      <c r="F11" s="518"/>
      <c r="G11" s="518"/>
      <c r="H11" s="518"/>
      <c r="I11" s="1"/>
      <c r="J11" s="520"/>
      <c r="K11" s="520"/>
      <c r="L11" s="520"/>
      <c r="M11" s="1"/>
      <c r="N11" s="315"/>
      <c r="O11" s="315"/>
      <c r="P11" s="315"/>
    </row>
    <row r="12" spans="2:16" x14ac:dyDescent="0.25">
      <c r="B12" s="518"/>
      <c r="C12" s="518"/>
      <c r="D12" s="518"/>
      <c r="E12" s="518"/>
      <c r="F12" s="518"/>
      <c r="G12" s="518"/>
      <c r="H12" s="518"/>
      <c r="I12" s="1"/>
      <c r="J12" s="521"/>
      <c r="K12" s="521"/>
      <c r="L12" s="521"/>
      <c r="M12" s="111"/>
      <c r="N12" s="531"/>
      <c r="O12" s="531"/>
      <c r="P12" s="531"/>
    </row>
    <row r="13" spans="2:16" ht="11.25" customHeight="1" x14ac:dyDescent="0.25">
      <c r="B13" s="518"/>
      <c r="C13" s="518"/>
      <c r="D13" s="518"/>
      <c r="E13" s="518"/>
      <c r="F13" s="518"/>
      <c r="G13" s="518"/>
      <c r="H13" s="518"/>
      <c r="I13" s="1"/>
      <c r="J13" s="532" t="s">
        <v>134</v>
      </c>
      <c r="K13" s="533"/>
      <c r="L13" s="533"/>
      <c r="M13" s="534"/>
      <c r="N13" s="509"/>
      <c r="O13" s="510"/>
      <c r="P13" s="511"/>
    </row>
    <row r="14" spans="2:16" ht="12" customHeight="1" x14ac:dyDescent="0.25">
      <c r="B14" s="518"/>
      <c r="C14" s="518"/>
      <c r="D14" s="518"/>
      <c r="E14" s="518"/>
      <c r="F14" s="518"/>
      <c r="G14" s="518"/>
      <c r="H14" s="518"/>
      <c r="I14" s="1"/>
      <c r="J14" s="535"/>
      <c r="K14" s="536"/>
      <c r="L14" s="536"/>
      <c r="M14" s="537"/>
      <c r="N14" s="512"/>
      <c r="O14" s="513"/>
      <c r="P14" s="514"/>
    </row>
    <row r="15" spans="2:16" x14ac:dyDescent="0.25">
      <c r="B15" s="518"/>
      <c r="C15" s="518"/>
      <c r="D15" s="518"/>
      <c r="E15" s="518"/>
      <c r="F15" s="518"/>
      <c r="G15" s="518"/>
      <c r="H15" s="518"/>
      <c r="I15" s="1"/>
      <c r="J15" s="1"/>
      <c r="K15" s="1"/>
      <c r="L15" s="1"/>
      <c r="M15" s="1"/>
      <c r="N15" s="1"/>
      <c r="O15" s="1"/>
      <c r="P15" s="110"/>
    </row>
    <row r="16" spans="2:16" ht="13.5" customHeight="1" x14ac:dyDescent="0.25">
      <c r="B16" s="518"/>
      <c r="C16" s="518"/>
      <c r="D16" s="518"/>
      <c r="E16" s="518"/>
      <c r="F16" s="518"/>
      <c r="G16" s="518"/>
      <c r="H16" s="518"/>
      <c r="I16" s="1"/>
      <c r="J16" s="522" t="s">
        <v>147</v>
      </c>
      <c r="K16" s="523"/>
      <c r="L16" s="523"/>
      <c r="M16" s="523"/>
      <c r="N16" s="523"/>
      <c r="O16" s="523"/>
      <c r="P16" s="524"/>
    </row>
    <row r="17" spans="2:16" ht="6" customHeight="1" x14ac:dyDescent="0.25">
      <c r="B17" s="112"/>
      <c r="C17" s="113"/>
      <c r="D17" s="113"/>
      <c r="E17" s="113"/>
      <c r="F17" s="113"/>
      <c r="G17" s="113"/>
      <c r="H17" s="113"/>
      <c r="I17" s="1"/>
      <c r="J17" s="525"/>
      <c r="K17" s="526"/>
      <c r="L17" s="526"/>
      <c r="M17" s="526"/>
      <c r="N17" s="526"/>
      <c r="O17" s="526"/>
      <c r="P17" s="527"/>
    </row>
    <row r="18" spans="2:16" ht="13.5" customHeight="1" x14ac:dyDescent="0.25">
      <c r="B18" s="486" t="s">
        <v>142</v>
      </c>
      <c r="C18" s="486"/>
      <c r="D18" s="486"/>
      <c r="E18" s="486"/>
      <c r="F18" s="486"/>
      <c r="G18" s="486"/>
      <c r="H18" s="486"/>
      <c r="I18" s="1"/>
      <c r="J18" s="525"/>
      <c r="K18" s="526"/>
      <c r="L18" s="526"/>
      <c r="M18" s="526"/>
      <c r="N18" s="526"/>
      <c r="O18" s="526"/>
      <c r="P18" s="527"/>
    </row>
    <row r="19" spans="2:16" ht="15" customHeight="1" x14ac:dyDescent="0.25">
      <c r="B19" s="515"/>
      <c r="C19" s="515"/>
      <c r="D19" s="515"/>
      <c r="E19" s="515"/>
      <c r="F19" s="515"/>
      <c r="G19" s="515"/>
      <c r="H19" s="515"/>
      <c r="I19" s="1"/>
      <c r="J19" s="525"/>
      <c r="K19" s="526"/>
      <c r="L19" s="526"/>
      <c r="M19" s="526"/>
      <c r="N19" s="526"/>
      <c r="O19" s="526"/>
      <c r="P19" s="527"/>
    </row>
    <row r="20" spans="2:16" x14ac:dyDescent="0.25">
      <c r="B20" s="515"/>
      <c r="C20" s="515"/>
      <c r="D20" s="515"/>
      <c r="E20" s="515"/>
      <c r="F20" s="515"/>
      <c r="G20" s="515"/>
      <c r="H20" s="515"/>
      <c r="I20" s="1"/>
      <c r="J20" s="525"/>
      <c r="K20" s="526"/>
      <c r="L20" s="526"/>
      <c r="M20" s="526"/>
      <c r="N20" s="526"/>
      <c r="O20" s="526"/>
      <c r="P20" s="527"/>
    </row>
    <row r="21" spans="2:16" x14ac:dyDescent="0.25">
      <c r="B21" s="515"/>
      <c r="C21" s="515"/>
      <c r="D21" s="515"/>
      <c r="E21" s="515"/>
      <c r="F21" s="515"/>
      <c r="G21" s="515"/>
      <c r="H21" s="515"/>
      <c r="I21" s="1"/>
      <c r="J21" s="525"/>
      <c r="K21" s="526"/>
      <c r="L21" s="526"/>
      <c r="M21" s="526"/>
      <c r="N21" s="526"/>
      <c r="O21" s="526"/>
      <c r="P21" s="527"/>
    </row>
    <row r="22" spans="2:16" x14ac:dyDescent="0.25">
      <c r="B22" s="515"/>
      <c r="C22" s="515"/>
      <c r="D22" s="515"/>
      <c r="E22" s="515"/>
      <c r="F22" s="515"/>
      <c r="G22" s="515"/>
      <c r="H22" s="515"/>
      <c r="I22" s="1"/>
      <c r="J22" s="525"/>
      <c r="K22" s="526"/>
      <c r="L22" s="526"/>
      <c r="M22" s="526"/>
      <c r="N22" s="526"/>
      <c r="O22" s="526"/>
      <c r="P22" s="527"/>
    </row>
    <row r="23" spans="2:16" ht="5.25" customHeight="1" x14ac:dyDescent="0.25">
      <c r="B23" s="114"/>
      <c r="C23" s="91"/>
      <c r="D23" s="91"/>
      <c r="E23" s="91"/>
      <c r="F23" s="91"/>
      <c r="G23" s="91"/>
      <c r="H23" s="91"/>
      <c r="I23" s="1"/>
      <c r="J23" s="525"/>
      <c r="K23" s="526"/>
      <c r="L23" s="526"/>
      <c r="M23" s="526"/>
      <c r="N23" s="526"/>
      <c r="O23" s="526"/>
      <c r="P23" s="527"/>
    </row>
    <row r="24" spans="2:16" ht="18" customHeight="1" x14ac:dyDescent="0.25">
      <c r="B24" s="517" t="s">
        <v>135</v>
      </c>
      <c r="C24" s="517"/>
      <c r="D24" s="517"/>
      <c r="E24" s="517"/>
      <c r="F24" s="517"/>
      <c r="G24" s="517"/>
      <c r="H24" s="517"/>
      <c r="I24" s="1"/>
      <c r="J24" s="525"/>
      <c r="K24" s="526"/>
      <c r="L24" s="526"/>
      <c r="M24" s="526"/>
      <c r="N24" s="526"/>
      <c r="O24" s="526"/>
      <c r="P24" s="527"/>
    </row>
    <row r="25" spans="2:16" ht="14.25" customHeight="1" x14ac:dyDescent="0.25">
      <c r="B25" s="516" t="s">
        <v>98</v>
      </c>
      <c r="C25" s="516"/>
      <c r="D25" s="516"/>
      <c r="E25" s="1"/>
      <c r="F25" s="482"/>
      <c r="G25" s="482"/>
      <c r="H25" s="482"/>
      <c r="I25" s="115"/>
      <c r="J25" s="525"/>
      <c r="K25" s="526"/>
      <c r="L25" s="526"/>
      <c r="M25" s="526"/>
      <c r="N25" s="526"/>
      <c r="O25" s="526"/>
      <c r="P25" s="527"/>
    </row>
    <row r="26" spans="2:16" ht="14.25" customHeight="1" x14ac:dyDescent="0.25">
      <c r="B26" s="481" t="s">
        <v>99</v>
      </c>
      <c r="C26" s="481"/>
      <c r="D26" s="481"/>
      <c r="E26" s="116"/>
      <c r="F26" s="482"/>
      <c r="G26" s="482"/>
      <c r="H26" s="482"/>
      <c r="I26" s="115"/>
      <c r="J26" s="525"/>
      <c r="K26" s="526"/>
      <c r="L26" s="526"/>
      <c r="M26" s="526"/>
      <c r="N26" s="526"/>
      <c r="O26" s="526"/>
      <c r="P26" s="527"/>
    </row>
    <row r="27" spans="2:16" ht="14.25" customHeight="1" x14ac:dyDescent="0.25">
      <c r="B27" s="481" t="s">
        <v>100</v>
      </c>
      <c r="C27" s="481"/>
      <c r="D27" s="481"/>
      <c r="E27" s="116"/>
      <c r="F27" s="482"/>
      <c r="G27" s="482"/>
      <c r="H27" s="482"/>
      <c r="I27" s="115"/>
      <c r="J27" s="525"/>
      <c r="K27" s="526"/>
      <c r="L27" s="526"/>
      <c r="M27" s="526"/>
      <c r="N27" s="526"/>
      <c r="O27" s="526"/>
      <c r="P27" s="527"/>
    </row>
    <row r="28" spans="2:16" ht="14.25" customHeight="1" x14ac:dyDescent="0.25">
      <c r="B28" s="481" t="s">
        <v>101</v>
      </c>
      <c r="C28" s="481"/>
      <c r="D28" s="481"/>
      <c r="E28" s="1"/>
      <c r="F28" s="482"/>
      <c r="G28" s="482"/>
      <c r="H28" s="482"/>
      <c r="I28" s="115"/>
      <c r="J28" s="525"/>
      <c r="K28" s="526"/>
      <c r="L28" s="526"/>
      <c r="M28" s="526"/>
      <c r="N28" s="526"/>
      <c r="O28" s="526"/>
      <c r="P28" s="527"/>
    </row>
    <row r="29" spans="2:16" ht="14.25" customHeight="1" x14ac:dyDescent="0.25">
      <c r="B29" s="481" t="s">
        <v>106</v>
      </c>
      <c r="C29" s="481"/>
      <c r="D29" s="481"/>
      <c r="E29" s="1"/>
      <c r="F29" s="482"/>
      <c r="G29" s="482"/>
      <c r="H29" s="482"/>
      <c r="I29" s="115"/>
      <c r="J29" s="525"/>
      <c r="K29" s="526"/>
      <c r="L29" s="526"/>
      <c r="M29" s="526"/>
      <c r="N29" s="526"/>
      <c r="O29" s="526"/>
      <c r="P29" s="527"/>
    </row>
    <row r="30" spans="2:16" ht="27.75" customHeight="1" x14ac:dyDescent="0.25">
      <c r="B30" s="483" t="s">
        <v>136</v>
      </c>
      <c r="C30" s="483"/>
      <c r="D30" s="483"/>
      <c r="E30" s="1"/>
      <c r="F30" s="484"/>
      <c r="G30" s="484"/>
      <c r="H30" s="484"/>
      <c r="I30" s="117"/>
      <c r="J30" s="525"/>
      <c r="K30" s="526"/>
      <c r="L30" s="526"/>
      <c r="M30" s="526"/>
      <c r="N30" s="526"/>
      <c r="O30" s="526"/>
      <c r="P30" s="527"/>
    </row>
    <row r="31" spans="2:16" ht="6" customHeight="1" x14ac:dyDescent="0.25">
      <c r="B31" s="109"/>
      <c r="C31" s="1"/>
      <c r="D31" s="1"/>
      <c r="E31" s="1"/>
      <c r="F31" s="1"/>
      <c r="G31" s="1"/>
      <c r="H31" s="1"/>
      <c r="I31" s="1"/>
      <c r="J31" s="525"/>
      <c r="K31" s="526"/>
      <c r="L31" s="526"/>
      <c r="M31" s="526"/>
      <c r="N31" s="526"/>
      <c r="O31" s="526"/>
      <c r="P31" s="527"/>
    </row>
    <row r="32" spans="2:16" x14ac:dyDescent="0.25">
      <c r="B32" s="500" t="s">
        <v>148</v>
      </c>
      <c r="C32" s="501"/>
      <c r="D32" s="501"/>
      <c r="E32" s="501"/>
      <c r="F32" s="501"/>
      <c r="G32" s="501"/>
      <c r="H32" s="502"/>
      <c r="I32" s="1"/>
      <c r="J32" s="525"/>
      <c r="K32" s="526"/>
      <c r="L32" s="526"/>
      <c r="M32" s="526"/>
      <c r="N32" s="526"/>
      <c r="O32" s="526"/>
      <c r="P32" s="527"/>
    </row>
    <row r="33" spans="2:16" x14ac:dyDescent="0.25">
      <c r="B33" s="503"/>
      <c r="C33" s="504"/>
      <c r="D33" s="504"/>
      <c r="E33" s="504"/>
      <c r="F33" s="504"/>
      <c r="G33" s="504"/>
      <c r="H33" s="505"/>
      <c r="I33" s="1"/>
      <c r="J33" s="525"/>
      <c r="K33" s="526"/>
      <c r="L33" s="526"/>
      <c r="M33" s="526"/>
      <c r="N33" s="526"/>
      <c r="O33" s="526"/>
      <c r="P33" s="527"/>
    </row>
    <row r="34" spans="2:16" x14ac:dyDescent="0.25">
      <c r="B34" s="503"/>
      <c r="C34" s="504"/>
      <c r="D34" s="504"/>
      <c r="E34" s="504"/>
      <c r="F34" s="504"/>
      <c r="G34" s="504"/>
      <c r="H34" s="505"/>
      <c r="I34" s="1"/>
      <c r="J34" s="525"/>
      <c r="K34" s="526"/>
      <c r="L34" s="526"/>
      <c r="M34" s="526"/>
      <c r="N34" s="526"/>
      <c r="O34" s="526"/>
      <c r="P34" s="527"/>
    </row>
    <row r="35" spans="2:16" x14ac:dyDescent="0.25">
      <c r="B35" s="503"/>
      <c r="C35" s="504"/>
      <c r="D35" s="504"/>
      <c r="E35" s="504"/>
      <c r="F35" s="504"/>
      <c r="G35" s="504"/>
      <c r="H35" s="505"/>
      <c r="I35" s="1"/>
      <c r="J35" s="525"/>
      <c r="K35" s="526"/>
      <c r="L35" s="526"/>
      <c r="M35" s="526"/>
      <c r="N35" s="526"/>
      <c r="O35" s="526"/>
      <c r="P35" s="527"/>
    </row>
    <row r="36" spans="2:16" ht="20.25" customHeight="1" x14ac:dyDescent="0.25">
      <c r="B36" s="503"/>
      <c r="C36" s="504"/>
      <c r="D36" s="504"/>
      <c r="E36" s="504"/>
      <c r="F36" s="504"/>
      <c r="G36" s="504"/>
      <c r="H36" s="505"/>
      <c r="I36" s="1"/>
      <c r="J36" s="528"/>
      <c r="K36" s="529"/>
      <c r="L36" s="529"/>
      <c r="M36" s="529"/>
      <c r="N36" s="529"/>
      <c r="O36" s="529"/>
      <c r="P36" s="530"/>
    </row>
    <row r="37" spans="2:16" x14ac:dyDescent="0.25">
      <c r="B37" s="503"/>
      <c r="C37" s="504"/>
      <c r="D37" s="504"/>
      <c r="E37" s="504"/>
      <c r="F37" s="504"/>
      <c r="G37" s="504"/>
      <c r="H37" s="505"/>
      <c r="I37" s="1"/>
      <c r="J37" s="1"/>
      <c r="K37" s="1"/>
      <c r="L37" s="1"/>
      <c r="M37" s="1"/>
      <c r="N37" s="1"/>
      <c r="O37" s="1"/>
      <c r="P37" s="110"/>
    </row>
    <row r="38" spans="2:16" ht="15.75" customHeight="1" x14ac:dyDescent="0.25">
      <c r="B38" s="503"/>
      <c r="C38" s="504"/>
      <c r="D38" s="504"/>
      <c r="E38" s="504"/>
      <c r="F38" s="504"/>
      <c r="G38" s="504"/>
      <c r="H38" s="505"/>
      <c r="I38" s="1"/>
      <c r="J38" s="486" t="s">
        <v>137</v>
      </c>
      <c r="K38" s="486"/>
      <c r="L38" s="486"/>
      <c r="M38" s="486"/>
      <c r="N38" s="486"/>
      <c r="O38" s="486"/>
      <c r="P38" s="486"/>
    </row>
    <row r="39" spans="2:16" x14ac:dyDescent="0.25">
      <c r="B39" s="503"/>
      <c r="C39" s="504"/>
      <c r="D39" s="504"/>
      <c r="E39" s="504"/>
      <c r="F39" s="504"/>
      <c r="G39" s="504"/>
      <c r="H39" s="505"/>
      <c r="I39" s="1"/>
      <c r="J39" s="491"/>
      <c r="K39" s="492"/>
      <c r="L39" s="492"/>
      <c r="M39" s="492"/>
      <c r="N39" s="492"/>
      <c r="O39" s="492"/>
      <c r="P39" s="493"/>
    </row>
    <row r="40" spans="2:16" x14ac:dyDescent="0.25">
      <c r="B40" s="503"/>
      <c r="C40" s="504"/>
      <c r="D40" s="504"/>
      <c r="E40" s="504"/>
      <c r="F40" s="504"/>
      <c r="G40" s="504"/>
      <c r="H40" s="505"/>
      <c r="I40" s="1"/>
      <c r="J40" s="494"/>
      <c r="K40" s="495"/>
      <c r="L40" s="495"/>
      <c r="M40" s="495"/>
      <c r="N40" s="495"/>
      <c r="O40" s="495"/>
      <c r="P40" s="496"/>
    </row>
    <row r="41" spans="2:16" x14ac:dyDescent="0.25">
      <c r="B41" s="503"/>
      <c r="C41" s="504"/>
      <c r="D41" s="504"/>
      <c r="E41" s="504"/>
      <c r="F41" s="504"/>
      <c r="G41" s="504"/>
      <c r="H41" s="505"/>
      <c r="I41" s="1"/>
      <c r="J41" s="494"/>
      <c r="K41" s="495"/>
      <c r="L41" s="495"/>
      <c r="M41" s="495"/>
      <c r="N41" s="495"/>
      <c r="O41" s="495"/>
      <c r="P41" s="496"/>
    </row>
    <row r="42" spans="2:16" ht="15.75" customHeight="1" x14ac:dyDescent="0.25">
      <c r="B42" s="503"/>
      <c r="C42" s="504"/>
      <c r="D42" s="504"/>
      <c r="E42" s="504"/>
      <c r="F42" s="504"/>
      <c r="G42" s="504"/>
      <c r="H42" s="505"/>
      <c r="I42" s="1"/>
      <c r="J42" s="494"/>
      <c r="K42" s="495"/>
      <c r="L42" s="495"/>
      <c r="M42" s="495"/>
      <c r="N42" s="495"/>
      <c r="O42" s="495"/>
      <c r="P42" s="496"/>
    </row>
    <row r="43" spans="2:16" x14ac:dyDescent="0.25">
      <c r="B43" s="503"/>
      <c r="C43" s="504"/>
      <c r="D43" s="504"/>
      <c r="E43" s="504"/>
      <c r="F43" s="504"/>
      <c r="G43" s="504"/>
      <c r="H43" s="505"/>
      <c r="I43" s="1"/>
      <c r="J43" s="494"/>
      <c r="K43" s="495"/>
      <c r="L43" s="495"/>
      <c r="M43" s="495"/>
      <c r="N43" s="495"/>
      <c r="O43" s="495"/>
      <c r="P43" s="496"/>
    </row>
    <row r="44" spans="2:16" x14ac:dyDescent="0.25">
      <c r="B44" s="503"/>
      <c r="C44" s="504"/>
      <c r="D44" s="504"/>
      <c r="E44" s="504"/>
      <c r="F44" s="504"/>
      <c r="G44" s="504"/>
      <c r="H44" s="505"/>
      <c r="I44" s="1"/>
      <c r="J44" s="494"/>
      <c r="K44" s="495"/>
      <c r="L44" s="495"/>
      <c r="M44" s="495"/>
      <c r="N44" s="495"/>
      <c r="O44" s="495"/>
      <c r="P44" s="496"/>
    </row>
    <row r="45" spans="2:16" ht="15.75" customHeight="1" x14ac:dyDescent="0.25">
      <c r="B45" s="506"/>
      <c r="C45" s="507"/>
      <c r="D45" s="507"/>
      <c r="E45" s="507"/>
      <c r="F45" s="507"/>
      <c r="G45" s="507"/>
      <c r="H45" s="508"/>
      <c r="I45" s="1"/>
      <c r="J45" s="494"/>
      <c r="K45" s="495"/>
      <c r="L45" s="495"/>
      <c r="M45" s="495"/>
      <c r="N45" s="495"/>
      <c r="O45" s="495"/>
      <c r="P45" s="496"/>
    </row>
    <row r="46" spans="2:16" x14ac:dyDescent="0.25">
      <c r="B46" s="109"/>
      <c r="C46" s="1"/>
      <c r="D46" s="1"/>
      <c r="E46" s="1"/>
      <c r="F46" s="1"/>
      <c r="G46" s="1"/>
      <c r="H46" s="1"/>
      <c r="I46" s="1"/>
      <c r="J46" s="494"/>
      <c r="K46" s="495"/>
      <c r="L46" s="495"/>
      <c r="M46" s="495"/>
      <c r="N46" s="495"/>
      <c r="O46" s="495"/>
      <c r="P46" s="496"/>
    </row>
    <row r="47" spans="2:16" x14ac:dyDescent="0.25">
      <c r="B47" s="500" t="s">
        <v>148</v>
      </c>
      <c r="C47" s="501"/>
      <c r="D47" s="501"/>
      <c r="E47" s="501"/>
      <c r="F47" s="501"/>
      <c r="G47" s="501"/>
      <c r="H47" s="502"/>
      <c r="I47" s="1"/>
      <c r="J47" s="494"/>
      <c r="K47" s="495"/>
      <c r="L47" s="495"/>
      <c r="M47" s="495"/>
      <c r="N47" s="495"/>
      <c r="O47" s="495"/>
      <c r="P47" s="496"/>
    </row>
    <row r="48" spans="2:16" x14ac:dyDescent="0.25">
      <c r="B48" s="503"/>
      <c r="C48" s="504"/>
      <c r="D48" s="504"/>
      <c r="E48" s="504"/>
      <c r="F48" s="504"/>
      <c r="G48" s="504"/>
      <c r="H48" s="505"/>
      <c r="I48" s="1"/>
      <c r="J48" s="494"/>
      <c r="K48" s="495"/>
      <c r="L48" s="495"/>
      <c r="M48" s="495"/>
      <c r="N48" s="495"/>
      <c r="O48" s="495"/>
      <c r="P48" s="496"/>
    </row>
    <row r="49" spans="2:16" ht="20.25" customHeight="1" x14ac:dyDescent="0.25">
      <c r="B49" s="503"/>
      <c r="C49" s="504"/>
      <c r="D49" s="504"/>
      <c r="E49" s="504"/>
      <c r="F49" s="504"/>
      <c r="G49" s="504"/>
      <c r="H49" s="505"/>
      <c r="I49" s="1"/>
      <c r="J49" s="494"/>
      <c r="K49" s="495"/>
      <c r="L49" s="495"/>
      <c r="M49" s="495"/>
      <c r="N49" s="495"/>
      <c r="O49" s="495"/>
      <c r="P49" s="496"/>
    </row>
    <row r="50" spans="2:16" x14ac:dyDescent="0.25">
      <c r="B50" s="503"/>
      <c r="C50" s="504"/>
      <c r="D50" s="504"/>
      <c r="E50" s="504"/>
      <c r="F50" s="504"/>
      <c r="G50" s="504"/>
      <c r="H50" s="505"/>
      <c r="I50" s="1"/>
      <c r="J50" s="494"/>
      <c r="K50" s="495"/>
      <c r="L50" s="495"/>
      <c r="M50" s="495"/>
      <c r="N50" s="495"/>
      <c r="O50" s="495"/>
      <c r="P50" s="496"/>
    </row>
    <row r="51" spans="2:16" x14ac:dyDescent="0.25">
      <c r="B51" s="503"/>
      <c r="C51" s="504"/>
      <c r="D51" s="504"/>
      <c r="E51" s="504"/>
      <c r="F51" s="504"/>
      <c r="G51" s="504"/>
      <c r="H51" s="505"/>
      <c r="I51" s="1"/>
      <c r="J51" s="497"/>
      <c r="K51" s="498"/>
      <c r="L51" s="498"/>
      <c r="M51" s="498"/>
      <c r="N51" s="498"/>
      <c r="O51" s="498"/>
      <c r="P51" s="499"/>
    </row>
    <row r="52" spans="2:16" x14ac:dyDescent="0.25">
      <c r="B52" s="503"/>
      <c r="C52" s="504"/>
      <c r="D52" s="504"/>
      <c r="E52" s="504"/>
      <c r="F52" s="504"/>
      <c r="G52" s="504"/>
      <c r="H52" s="505"/>
      <c r="I52" s="1"/>
      <c r="J52" s="1"/>
      <c r="K52" s="1"/>
      <c r="L52" s="1"/>
      <c r="M52" s="1"/>
      <c r="N52" s="1"/>
      <c r="O52" s="1"/>
      <c r="P52" s="110"/>
    </row>
    <row r="53" spans="2:16" x14ac:dyDescent="0.25">
      <c r="B53" s="503"/>
      <c r="C53" s="504"/>
      <c r="D53" s="504"/>
      <c r="E53" s="504"/>
      <c r="F53" s="504"/>
      <c r="G53" s="504"/>
      <c r="H53" s="505"/>
      <c r="I53" s="1"/>
      <c r="J53" s="486" t="s">
        <v>138</v>
      </c>
      <c r="K53" s="486"/>
      <c r="L53" s="486"/>
      <c r="M53" s="486"/>
      <c r="N53" s="486"/>
      <c r="O53" s="486"/>
      <c r="P53" s="486"/>
    </row>
    <row r="54" spans="2:16" x14ac:dyDescent="0.25">
      <c r="B54" s="503"/>
      <c r="C54" s="504"/>
      <c r="D54" s="504"/>
      <c r="E54" s="504"/>
      <c r="F54" s="504"/>
      <c r="G54" s="504"/>
      <c r="H54" s="505"/>
      <c r="I54" s="1"/>
      <c r="J54" s="487" t="s">
        <v>139</v>
      </c>
      <c r="K54" s="488"/>
      <c r="L54" s="489"/>
      <c r="M54" s="1"/>
      <c r="N54" s="486" t="s">
        <v>140</v>
      </c>
      <c r="O54" s="486"/>
      <c r="P54" s="486"/>
    </row>
    <row r="55" spans="2:16" ht="24" customHeight="1" x14ac:dyDescent="0.25">
      <c r="B55" s="503"/>
      <c r="C55" s="504"/>
      <c r="D55" s="504"/>
      <c r="E55" s="504"/>
      <c r="F55" s="504"/>
      <c r="G55" s="504"/>
      <c r="H55" s="505"/>
      <c r="I55" s="1"/>
      <c r="J55" s="490"/>
      <c r="K55" s="352"/>
      <c r="L55" s="352"/>
      <c r="M55" s="1"/>
      <c r="N55" s="490"/>
      <c r="O55" s="352"/>
      <c r="P55" s="352"/>
    </row>
    <row r="56" spans="2:16" ht="18.75" customHeight="1" x14ac:dyDescent="0.25">
      <c r="B56" s="503"/>
      <c r="C56" s="504"/>
      <c r="D56" s="504"/>
      <c r="E56" s="504"/>
      <c r="F56" s="504"/>
      <c r="G56" s="504"/>
      <c r="H56" s="505"/>
      <c r="I56" s="1"/>
      <c r="J56" s="1"/>
      <c r="K56" s="1"/>
      <c r="L56" s="1"/>
      <c r="M56" s="1"/>
      <c r="N56" s="1"/>
      <c r="O56" s="1"/>
      <c r="P56" s="110"/>
    </row>
    <row r="57" spans="2:16" ht="12.75" customHeight="1" x14ac:dyDescent="0.25">
      <c r="B57" s="503"/>
      <c r="C57" s="504"/>
      <c r="D57" s="504"/>
      <c r="E57" s="504"/>
      <c r="F57" s="504"/>
      <c r="G57" s="504"/>
      <c r="H57" s="505"/>
      <c r="I57" s="1"/>
      <c r="J57" s="485" t="s">
        <v>141</v>
      </c>
      <c r="K57" s="485"/>
      <c r="L57" s="485"/>
      <c r="M57" s="485"/>
      <c r="N57" s="485"/>
      <c r="O57" s="485"/>
      <c r="P57" s="485"/>
    </row>
    <row r="58" spans="2:16" x14ac:dyDescent="0.25">
      <c r="B58" s="506"/>
      <c r="C58" s="507"/>
      <c r="D58" s="507"/>
      <c r="E58" s="507"/>
      <c r="F58" s="507"/>
      <c r="G58" s="507"/>
      <c r="H58" s="508"/>
      <c r="I58" s="118"/>
      <c r="J58" s="485"/>
      <c r="K58" s="485"/>
      <c r="L58" s="485"/>
      <c r="M58" s="485"/>
      <c r="N58" s="485"/>
      <c r="O58" s="485"/>
      <c r="P58" s="485"/>
    </row>
    <row r="59" spans="2:16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2:16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2:16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2:16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2:16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</sheetData>
  <mergeCells count="39">
    <mergeCell ref="B2:P2"/>
    <mergeCell ref="B4:C4"/>
    <mergeCell ref="D4:P4"/>
    <mergeCell ref="B6:H6"/>
    <mergeCell ref="J6:P6"/>
    <mergeCell ref="N13:P14"/>
    <mergeCell ref="B18:H18"/>
    <mergeCell ref="B19:H22"/>
    <mergeCell ref="B25:D25"/>
    <mergeCell ref="F25:H25"/>
    <mergeCell ref="B24:H24"/>
    <mergeCell ref="B7:H16"/>
    <mergeCell ref="J7:P8"/>
    <mergeCell ref="J10:L10"/>
    <mergeCell ref="N10:P10"/>
    <mergeCell ref="J11:L12"/>
    <mergeCell ref="J16:P36"/>
    <mergeCell ref="B32:H45"/>
    <mergeCell ref="N11:P12"/>
    <mergeCell ref="J13:M14"/>
    <mergeCell ref="B26:D26"/>
    <mergeCell ref="F26:H26"/>
    <mergeCell ref="B27:D27"/>
    <mergeCell ref="F27:H27"/>
    <mergeCell ref="B28:D28"/>
    <mergeCell ref="F28:H28"/>
    <mergeCell ref="B29:D29"/>
    <mergeCell ref="F29:H29"/>
    <mergeCell ref="B30:D30"/>
    <mergeCell ref="F30:H30"/>
    <mergeCell ref="J57:P58"/>
    <mergeCell ref="J38:P38"/>
    <mergeCell ref="J53:P53"/>
    <mergeCell ref="J54:L54"/>
    <mergeCell ref="N54:P54"/>
    <mergeCell ref="J55:L55"/>
    <mergeCell ref="N55:P55"/>
    <mergeCell ref="J39:P51"/>
    <mergeCell ref="B47:H58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10</vt:i4>
      </vt:variant>
    </vt:vector>
  </HeadingPairs>
  <TitlesOfParts>
    <vt:vector size="25" baseType="lpstr">
      <vt:lpstr>Matriz Priorizacion Proyectos</vt:lpstr>
      <vt:lpstr>Clarificacion Problema</vt:lpstr>
      <vt:lpstr>Árbol CTQ (Critico Para Calida</vt:lpstr>
      <vt:lpstr>Series de tiempo</vt:lpstr>
      <vt:lpstr>Pareto</vt:lpstr>
      <vt:lpstr>Objetivo SMART</vt:lpstr>
      <vt:lpstr>SIPOC</vt:lpstr>
      <vt:lpstr>Beneficios</vt:lpstr>
      <vt:lpstr>Tabla identificacion proyect</vt:lpstr>
      <vt:lpstr>Project Members</vt:lpstr>
      <vt:lpstr>Gantt</vt:lpstr>
      <vt:lpstr>Plan de comunicacion</vt:lpstr>
      <vt:lpstr>Recursos</vt:lpstr>
      <vt:lpstr>Project Charter</vt:lpstr>
      <vt:lpstr>A3 Definir</vt:lpstr>
      <vt:lpstr>'Árbol CTQ (Critico Para Calida'!Área_de_impresión</vt:lpstr>
      <vt:lpstr>'Project Charter'!Área_de_impresión</vt:lpstr>
      <vt:lpstr>InicioDelProyecto</vt:lpstr>
      <vt:lpstr>SemanaParaMostrar</vt:lpstr>
      <vt:lpstr>Gantt!task_end</vt:lpstr>
      <vt:lpstr>Gantt!task_progress</vt:lpstr>
      <vt:lpstr>Gantt!task_start</vt:lpstr>
      <vt:lpstr>'Árbol CTQ (Critico Para Calida'!Títulos_a_imprimir</vt:lpstr>
      <vt:lpstr>Gantt!Títulos_a_imprimir</vt:lpstr>
      <vt:lpstr>'Project Charter'!Títulos_a_imprimir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Sanchez Armenta</dc:creator>
  <cp:lastModifiedBy>Alejandro Sanchez Armenta</cp:lastModifiedBy>
  <dcterms:created xsi:type="dcterms:W3CDTF">2021-07-01T17:26:35Z</dcterms:created>
  <dcterms:modified xsi:type="dcterms:W3CDTF">2022-01-06T19:03:20Z</dcterms:modified>
</cp:coreProperties>
</file>